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636" documentId="13_ncr:1_{F23918F6-93A0-4FFC-9C54-3B208A91E086}" xr6:coauthVersionLast="47" xr6:coauthVersionMax="47" xr10:uidLastSave="{EFBB58E5-5547-4B40-86D3-903162AF50F6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国内株式_特定!$A$1:$N$963</definedName>
    <definedName name="_xlnm._FilterDatabase" localSheetId="5" hidden="1">国内株式_特定_配当!$A$1:$K$15</definedName>
    <definedName name="_xlnm._FilterDatabase" localSheetId="7" hidden="1">投資信託!$A$1:$K$65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N965" i="6" l="1"/>
  <c r="M964" i="6"/>
  <c r="M965" i="6"/>
  <c r="M966" i="6"/>
  <c r="M967" i="6"/>
  <c r="H95" i="5"/>
  <c r="J95" i="5" s="1"/>
  <c r="K95" i="5" s="1"/>
  <c r="H65" i="2"/>
  <c r="J65" i="2" s="1"/>
  <c r="K65" i="2" s="1"/>
  <c r="H64" i="2"/>
  <c r="J64" i="2"/>
  <c r="K64" i="2" s="1"/>
  <c r="M963" i="6"/>
  <c r="P59" i="8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M10" i="10" s="1"/>
  <c r="N10" i="10" s="1"/>
  <c r="H10" i="10"/>
  <c r="G10" i="10"/>
  <c r="F10" i="10"/>
  <c r="D10" i="10"/>
  <c r="C10" i="10"/>
  <c r="B10" i="10"/>
  <c r="E10" i="10" l="1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7" i="11" l="1"/>
  <c r="S10" i="10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<sst xmlns="http://schemas.openxmlformats.org/spreadsheetml/2006/main" count="7432" uniqueCount="476">
  <si>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</si>
  <si>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</si>
  <si>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</si>
  <si>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</si>
  <si>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</si>
  <si>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</si>
  <si>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</si>
  <si>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</si>
  <si>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</si>
  <si>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</si>
  <si>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</si>
  <si>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</si>
  <si>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</si>
  <si>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</si>
  <si>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</si>
  <si>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</si>
  <si>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</si>
  <si>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</si>
  <si>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</si>
  <si>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</si>
  <si>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</si>
  <si>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</si>
  <si>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</si>
  <si>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</si>
  <si>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</si>
  <si>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</si>
  <si>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</si>
  <si>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</si>
  <si>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</si>
  <si>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</si>
  <si>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</si>
  <si>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</si>
  <si>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</si>
  <si>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</si>
  <si>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</si>
  <si>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</si>
  <si>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</si>
  <si>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</si>
  <si>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</si>
  <si>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</si>
  <si>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</si>
  <si>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</si>
  <si>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</si>
  <si>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</si>
  <si>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</si>
  <si>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</si>
  <si>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</si>
  <si>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</si>
  <si>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</si>
  <si>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</si>
  <si>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</si>
  <si>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</si>
  <si>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</si>
  <si>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</si>
  <si>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</si>
  <si>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</si>
  <si>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</si>
  <si>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</si>
  <si>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</si>
  <si>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</si>
  <si>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</si>
  <si>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</si>
  <si>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</si>
  <si>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</si>
  <si>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</si>
  <si>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</si>
  <si>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</si>
  <si>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</si>
  <si>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</si>
  <si>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</si>
  <si>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</si>
  <si>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</si>
  <si>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</si>
  <si>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</si>
  <si>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</si>
  <si>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</si>
  <si>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</si>
  <si>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</si>
  <si>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</si>
  <si>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</si>
  <si>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</si>
  <si>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</si>
  <si>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</si>
  <si>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</si>
  <si>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</si>
  <si>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</si>
  <si>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</si>
  <si>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</si>
  <si>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</si>
  <si>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</si>
  <si>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</si>
  <si>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</si>
  <si>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</si>
  <si>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</si>
  <si>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</si>
  <si>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</si>
  <si>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</si>
  <si>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</si>
  <si>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</si>
  <si>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</si>
  <si>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</si>
  <si>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</si>
  <si>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</si>
  <si>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</si>
  <si>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</si>
  <si>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</si>
  <si>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</si>
  <si>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</si>
  <si>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</si>
  <si>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</si>
  <si>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</si>
  <si>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</si>
  <si>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</si>
  <si>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</si>
  <si>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</si>
  <si>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</si>
  <si>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</si>
  <si>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</si>
  <si>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</si>
  <si>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</si>
  <si>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</si>
  <si>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</si>
  <si>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</si>
  <si>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</si>
  <si>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</si>
  <si>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</si>
  <si>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</si>
  <si>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</si>
  <si>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</si>
  <si>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</si>
  <si>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</si>
  <si>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</si>
  <si>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</si>
  <si>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</si>
  <si>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</si>
  <si>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</si>
  <si>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</si>
  <si>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</si>
  <si>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</si>
  <si>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</si>
  <si>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</si>
  <si>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</si>
  <si>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</si>
  <si>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</si>
  <si>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</si>
  <si>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</si>
  <si>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</si>
  <si>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</si>
  <si>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</si>
  <si>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</si>
  <si>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</si>
  <si>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</si>
  <si>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</si>
  <si>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</si>
  <si>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</si>
  <si>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</si>
  <si>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</si>
  <si>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</si>
  <si>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</si>
  <si>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</si>
  <si>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</si>
  <si>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</si>
  <si>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</si>
  <si>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</si>
  <si>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</si>
  <si>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</si>
  <si>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</si>
  <si>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</si>
  <si>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</si>
  <si>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</si>
  <si>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</si>
  <si>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</si>
  <si>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</si>
  <si>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</si>
  <si>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</si>
  <si>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</si>
  <si>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</si>
  <si>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</si>
  <si>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</si>
  <si>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</si>
  <si>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</si>
  <si>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</si>
  <si>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</si>
  <si>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</si>
  <si>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</si>
  <si>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</si>
  <si>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</si>
  <si>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</si>
  <si>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</si>
  <si>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</si>
  <si>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</si>
  <si>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</si>
  <si>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</si>
  <si>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</si>
  <si>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</si>
  <si>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</si>
  <si>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</si>
  <si>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</si>
  <si>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</si>
  <si>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</si>
  <si>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</si>
  <si>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</si>
  <si>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</si>
  <si>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</si>
  <si>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</si>
  <si>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</si>
  <si>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</si>
  <si>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</si>
  <si>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</si>
  <si>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</si>
  <si>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</si>
  <si>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</si>
  <si>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</si>
  <si>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</si>
  <si>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</si>
  <si>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</si>
  <si>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</si>
  <si>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</si>
  <si>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</si>
  <si>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</si>
  <si>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</si>
  <si>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</si>
  <si>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</si>
  <si>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</si>
  <si>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</si>
  <si>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</si>
  <si>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</si>
  <si>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</si>
  <si>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</si>
  <si>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</si>
  <si>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</si>
  <si>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</si>
  <si>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</si>
  <si>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</si>
  <si>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</si>
  <si>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</si>
  <si>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</si>
  <si>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</si>
  <si>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</si>
  <si>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</si>
  <si>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</si>
  <si>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</si>
  <si>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</si>
  <si>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</si>
  <si>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</si>
  <si>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</si>
  <si>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</si>
  <si>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</si>
  <si>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</si>
  <si>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</si>
  <si>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</si>
  <si>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</si>
  <si>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</si>
  <si>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</si>
  <si>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</si>
  <si>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</si>
  <si>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</si>
  <si>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</si>
  <si>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</si>
  <si>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</si>
  <si>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</si>
  <si>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</si>
  <si>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</si>
  <si>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</si>
  <si>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</si>
  <si>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</si>
  <si>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</si>
  <si>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</si>
  <si>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</si>
  <si>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</si>
  <si>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</si>
  <si>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</si>
  <si>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</si>
  <si>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</si>
  <si>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</si>
  <si>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</si>
  <si>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</si>
  <si>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</si>
  <si>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</si>
  <si>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</si>
  <si>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</si>
  <si>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</si>
  <si>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</si>
  <si>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</si>
  <si>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</si>
  <si>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</si>
  <si>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</si>
  <si>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</si>
  <si>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</si>
  <si>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</si>
  <si>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</si>
  <si>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</si>
  <si>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</si>
  <si>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</si>
  <si>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</si>
  <si>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</si>
  <si>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</si>
  <si>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</si>
  <si>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</si>
  <si>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</si>
  <si>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</si>
  <si>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</si>
  <si>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</si>
  <si>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</si>
  <si>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</si>
  <si>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</si>
  <si>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</si>
  <si>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</si>
  <si>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</si>
  <si>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</si>
  <si>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</si>
  <si>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</si>
  <si>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</si>
  <si>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</si>
  <si>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</si>
  <si>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</si>
  <si>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</si>
  <si>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</si>
  <si>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</si>
  <si>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</si>
  <si>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</si>
  <si>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</si>
  <si>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</si>
  <si>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</si>
  <si>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</si>
  <si>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</si>
  <si>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</si>
  <si>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</si>
  <si>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</si>
  <si>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</si>
  <si>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</si>
  <si>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</si>
  <si>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</si>
  <si>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</si>
  <si>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</si>
  <si>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</si>
  <si>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</si>
  <si>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</si>
  <si>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</si>
  <si>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</si>
  <si>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</si>
  <si>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</si>
  <si>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</si>
  <si>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</si>
  <si>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</si>
  <si>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</si>
  <si>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</si>
  <si>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</si>
  <si>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</si>
  <si>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</si>
  <si>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</si>
  <si>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</si>
  <si>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</si>
  <si>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</si>
  <si>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</si>
  <si>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</si>
  <si>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</si>
  <si>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</si>
  <si>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</si>
  <si>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</si>
  <si>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</si>
  <si>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</si>
  <si>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</si>
  <si>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</si>
  <si>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</si>
  <si>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</si>
  <si>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</si>
  <si>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</si>
  <si>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</si>
  <si>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</si>
  <si>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</si>
  <si>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</si>
  <si>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</si>
  <si>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</si>
  <si>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</si>
  <si>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</si>
  <si>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</si>
  <si>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</si>
  <si>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</si>
  <si>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</si>
  <si>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</si>
  <si>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</si>
  <si>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</si>
  <si>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</si>
  <si>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</si>
  <si>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</si>
  <si>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</si>
  <si>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</si>
  <si>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</si>
  <si>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</si>
  <si>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</si>
  <si>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</si>
  <si>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</si>
  <si>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</si>
  <si>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</si>
  <si>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</si>
  <si>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</si>
  <si>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</si>
  <si>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</si>
  <si>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</si>
  <si>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</si>
  <si>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</si>
  <si>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</si>
  <si>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</si>
  <si>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</si>
  <si>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</si>
  <si>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</si>
  <si>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</si>
  <si>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</si>
  <si>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</si>
  <si>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</si>
  <si>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</si>
  <si>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</si>
  <si>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</si>
  <si>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</si>
  <si>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</si>
  <si>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</si>
  <si>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</si>
  <si>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</si>
  <si>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</si>
  <si>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</si>
  <si>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</si>
  <si>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</si>
  <si>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</si>
  <si>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</si>
  <si>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</si>
  <si>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</si>
  <si>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</si>
  <si>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</si>
  <si>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</si>
  <si>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</si>
  <si>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</si>
  <si>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</si>
  <si>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</si>
  <si>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</si>
  <si>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</si>
  <si>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</si>
  <si>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</si>
  <si>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</si>
  <si>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</si>
  <si>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</si>
  <si>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</si>
  <si>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</si>
  <si>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</si>
  <si>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</si>
  <si>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</si>
  <si>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</si>
  <si>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</si>
  <si>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</si>
  <si>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</si>
  <si>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</si>
  <si>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</si>
  <si>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</si>
  <si>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</si>
  <si>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</si>
  <si>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</si>
  <si>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</si>
  <si>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</si>
  <si>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</si>
  <si>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</si>
  <si>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</si>
  <si>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</si>
  <si>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</si>
  <si>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</si>
  <si>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</si>
  <si>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</si>
  <si>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</si>
  <si>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</si>
  <si>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</si>
  <si>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</si>
  <si>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</si>
  <si>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</si>
  <si>
    <t>フェローテック</t>
    <phoneticPr fontId="18"/>
  </si>
  <si>
    <t>429A</t>
    <phoneticPr fontId="18"/>
  </si>
  <si>
    <t>テクセンドフォトマスク</t>
  </si>
  <si>
    <t>-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</si>
</sst>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4" fontId="0" fillId="0" borderId="10" xfId="0" applyNumberForma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F14" sqref="F14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9" t="s">
        <v>213</v>
      </c>
      <c r="C1" s="59"/>
      <c r="D1" s="59"/>
      <c r="E1" s="59"/>
      <c r="F1" s="59" t="s">
        <v>216</v>
      </c>
      <c r="G1" s="59"/>
      <c r="H1" s="59"/>
      <c r="I1" s="59"/>
      <c r="J1" s="59"/>
      <c r="K1" s="59" t="s">
        <v>218</v>
      </c>
      <c r="L1" s="59"/>
      <c r="M1" s="59"/>
      <c r="N1" s="59"/>
      <c r="O1" s="65" t="s">
        <v>302</v>
      </c>
      <c r="P1" s="66"/>
      <c r="Q1" s="66"/>
      <c r="R1" s="67"/>
      <c r="S1" s="37" t="s">
        <v>219</v>
      </c>
      <c r="U1" s="48" t="s">
        <v>361</v>
      </c>
      <c r="V1" s="48" t="s">
        <v>362</v>
      </c>
    </row>
    <row r="2" spans="1:22" x14ac:dyDescent="0.45">
      <c r="B2" s="55" t="s">
        <v>212</v>
      </c>
      <c r="C2" s="55"/>
      <c r="D2" s="55" t="s">
        <v>211</v>
      </c>
      <c r="E2" s="57" t="s">
        <v>214</v>
      </c>
      <c r="F2" s="55" t="s">
        <v>212</v>
      </c>
      <c r="G2" s="55"/>
      <c r="H2" s="55" t="s">
        <v>211</v>
      </c>
      <c r="I2" s="57" t="s">
        <v>214</v>
      </c>
      <c r="J2" s="62" t="s">
        <v>217</v>
      </c>
      <c r="K2" s="55" t="s">
        <v>212</v>
      </c>
      <c r="L2" s="55"/>
      <c r="M2" s="57" t="s">
        <v>214</v>
      </c>
      <c r="N2" s="62" t="s">
        <v>217</v>
      </c>
      <c r="O2" s="63" t="s">
        <v>212</v>
      </c>
      <c r="P2" s="64"/>
      <c r="Q2" s="57" t="s">
        <v>214</v>
      </c>
      <c r="R2" s="62" t="s">
        <v>217</v>
      </c>
      <c r="S2" s="61" t="s">
        <v>214</v>
      </c>
      <c r="U2" s="49">
        <v>44145</v>
      </c>
      <c r="V2" s="49">
        <f ca="1">TODAY()</f>
        <v>46194</v>
      </c>
    </row>
    <row r="3" spans="1:2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5"/>
      <c r="I3" s="57"/>
      <c r="J3" s="57"/>
      <c r="K3" s="32" t="s">
        <v>206</v>
      </c>
      <c r="L3" s="32" t="s">
        <v>207</v>
      </c>
      <c r="M3" s="57"/>
      <c r="N3" s="57"/>
      <c r="O3" s="32" t="s">
        <v>206</v>
      </c>
      <c r="P3" s="32" t="s">
        <v>207</v>
      </c>
      <c r="Q3" s="57"/>
      <c r="R3" s="57"/>
      <c r="S3" s="61"/>
      <c r="U3" s="59" t="s">
        <v>363</v>
      </c>
      <c r="V3" s="59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501495</v>
      </c>
      <c r="E4" s="35">
        <f>SUM(B4:D4)</f>
        <v>3220795</v>
      </c>
      <c r="F4" s="20">
        <f>SUM(F5:F100)</f>
        <v>13397423</v>
      </c>
      <c r="G4" s="20">
        <f>SUM(G5:G100)</f>
        <v>-4721887</v>
      </c>
      <c r="H4" s="20">
        <f>SUM(H5:H100)</f>
        <v>851995</v>
      </c>
      <c r="I4" s="35">
        <f>SUM(F4:H4)</f>
        <v>9527531</v>
      </c>
      <c r="J4" s="35">
        <f>SUM(J5:J100)</f>
        <v>7592013.0773499999</v>
      </c>
      <c r="K4" s="20">
        <f>SUM(K5:K100)</f>
        <v>474248</v>
      </c>
      <c r="L4" s="20">
        <f>SUM(L5:L100)</f>
        <v>-678053</v>
      </c>
      <c r="M4" s="35">
        <f>SUM(K4:L4)</f>
        <v>-203805</v>
      </c>
      <c r="N4" s="35">
        <f>SUM(N5:N100)</f>
        <v>-258697.95835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10705685.3323</v>
      </c>
      <c r="U4" s="60">
        <f ca="1">(V2-U2)/365</f>
        <v>5.6136986301369864</v>
      </c>
      <c r="V4" s="60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SUMIFS(投資信託!$K$2:$K$1033,投資信託!$B$2:$B$1033,"&gt;=2021/1/1",投資信託!$B$2:$B$1033,"&lt;=2021/12/31",投資信託!$K$2:$K$1033,"&gt;=0")</f>
        <v>7366</v>
      </c>
      <c r="P5" s="19">
        <f>SUMIFS(投資信託!$K$2:$K$1033,投資信託!$B$2:$B$1033,"&gt;=2021/1/1",投資信託!$B$2:$B$1033,"&lt;=2021/12/31",投資信託!$K$2:$K$1033,"&lt;0")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SUMIFS(投資信託!$K$2:$K$1033,投資信託!$B$2:$B$1033,"&gt;=2022/1/1",投資信託!$B$2:$B$1033,"&lt;=2022/12/31",投資信託!$K$2:$K$1033,"&gt;=0")</f>
        <v>0</v>
      </c>
      <c r="P6" s="19">
        <f>SUMIFS(投資信託!$K$2:$K$1033,投資信託!$B$2:$B$1033,"&gt;=2022/1/1",投資信託!$B$2:$B$1033,"&lt;=2022/12/31",投資信託!$K$2:$K$1033,"&lt;0")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SUMIFS(投資信託!$K$2:$K$1033,投資信託!$B$2:$B$1033,"&gt;=2023/1/1",投資信託!$B$2:$B$1033,"&lt;=2023/12/31",投資信託!$K$2:$K$1033,"&gt;=0")</f>
        <v>0</v>
      </c>
      <c r="P7" s="19">
        <f>SUMIFS(投資信託!$K$2:$K$1033,投資信託!$B$2:$B$1033,"&gt;=2023/1/1",投資信託!$B$2:$B$1033,"&lt;=2023/12/31",投資信託!$K$2:$K$1033,"&lt;0")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SUMIFS(投資信託!$K$2:$K$1033,投資信託!$B$2:$B$1033,"&gt;=2024/1/1",投資信託!$B$2:$B$1033,"&lt;=2024/12/31",投資信託!$K$2:$K$1033,"&gt;=0")</f>
        <v>0</v>
      </c>
      <c r="P8" s="19">
        <f>SUMIFS(投資信託!$K$2:$K$1033,投資信託!$B$2:$B$1033,"&gt;=2024/1/1",投資信託!$B$2:$B$1033,"&lt;=2024/12/31",投資信託!$K$2:$K$1033,"&lt;0")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SUMIFS(投資信託!$K$2:$K$1033,投資信託!$B$2:$B$1033,"&gt;=2025/1/1",投資信託!$B$2:$B$1033,"&lt;=2025/12/31",投資信託!$K$2:$K$1033,"&gt;=0")</f>
        <v>185421</v>
      </c>
      <c r="P9" s="19">
        <f>SUMIFS(投資信託!$K$2:$K$1033,投資信託!$B$2:$B$1033,"&gt;=2025/1/1",投資信託!$B$2:$B$1033,"&lt;=2025/12/31",投資信託!$K$2:$K$1033,"&lt;0")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SUMIFS(国内株式_NISA_配当!$K$2:$K$1004,国内株式_NISA_配当!$A$2:$A$1004,"&gt;=2026/1/1",国内株式_NISA_配当!$A$2:$A$1004,"&lt;=2026/12/31")</f>
        <v>51200</v>
      </c>
      <c r="E10" s="35">
        <f t="shared" si="7"/>
        <v>51200</v>
      </c>
      <c r="F10" s="19">
        <f>SUMIFS(国内株式_特定!$N$2:$N$998,国内株式_特定!$B$2:$B$998,"&gt;=2026/1/1",国内株式_特定!$B$2:$B$998,"&lt;=2026/12/31",国内株式_特定!$N$2:$N$998,"&gt;=0")</f>
        <v>5751030</v>
      </c>
      <c r="G10" s="19">
        <f>SUMIFS(国内株式_特定!$N$2:$N$998,国内株式_特定!$B$2:$B$998,"&gt;=2026/1/1",国内株式_特定!$B$2:$B$998,"&lt;=2026/12/31",国内株式_特定!$N$2:$N$998,"&lt;0")</f>
        <v>-1296588</v>
      </c>
      <c r="H10" s="19">
        <f>SUMIFS(国内株式_特定_配当!$H$2:$H$999,国内株式_特定_配当!$A$2:$A$999,"&gt;=2026/1/1",国内株式_特定_配当!$A$2:$A$999,"&lt;=2026/12/31")</f>
        <v>49840</v>
      </c>
      <c r="I10" s="35">
        <f t="shared" si="11"/>
        <v>4504282</v>
      </c>
      <c r="J10" s="36">
        <f t="shared" si="1"/>
        <v>3589237.1117000002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-3810</v>
      </c>
      <c r="M10" s="35">
        <f t="shared" si="12"/>
        <v>260090</v>
      </c>
      <c r="N10" s="36">
        <f t="shared" si="13"/>
        <v>207252.71650000001</v>
      </c>
      <c r="O10" s="19">
        <f>SUMIFS(投資信託!$K$2:$K$1033,投資信託!$B$2:$B$1033,"&gt;=2026/1/1",投資信託!$B$2:$B$1033,"&lt;=2026/12/31",投資信託!$K$2:$K$1033,"&gt;=0")</f>
        <v>0</v>
      </c>
      <c r="P10" s="19">
        <f>SUMIFS(投資信託!$K$2:$K$1033,投資信託!$B$2:$B$1033,"&gt;=2026/1/1",投資信託!$B$2:$B$1033,"&lt;=2026/12/31",投資信託!$K$2:$K$1033,"&lt;0")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3847689.8282000003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9" t="s">
        <v>417</v>
      </c>
      <c r="C1" s="59"/>
      <c r="D1" s="59"/>
      <c r="E1" s="59"/>
      <c r="F1" s="59" t="s">
        <v>416</v>
      </c>
      <c r="G1" s="59"/>
      <c r="H1" s="59"/>
      <c r="I1" s="59"/>
      <c r="J1" s="59"/>
      <c r="K1" s="69" t="s">
        <v>219</v>
      </c>
      <c r="L1" s="69"/>
    </row>
    <row r="2" spans="1:12" x14ac:dyDescent="0.45">
      <c r="B2" s="55" t="s">
        <v>212</v>
      </c>
      <c r="C2" s="55"/>
      <c r="D2" s="68" t="s">
        <v>418</v>
      </c>
      <c r="E2" s="57" t="s">
        <v>214</v>
      </c>
      <c r="F2" s="55" t="s">
        <v>212</v>
      </c>
      <c r="G2" s="55"/>
      <c r="H2" s="68" t="s">
        <v>418</v>
      </c>
      <c r="I2" s="57" t="s">
        <v>214</v>
      </c>
      <c r="J2" s="62" t="s">
        <v>217</v>
      </c>
      <c r="K2" s="61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56"/>
      <c r="E3" s="58"/>
      <c r="F3" s="32" t="s">
        <v>206</v>
      </c>
      <c r="G3" s="32" t="s">
        <v>207</v>
      </c>
      <c r="H3" s="56"/>
      <c r="I3" s="57"/>
      <c r="J3" s="57"/>
      <c r="K3" s="61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6" sqref="D66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5"/>
  <sheetViews>
    <sheetView zoomScale="80" zoomScaleNormal="80" workbookViewId="0">
      <pane ySplit="1" topLeftCell="A47" activePane="bottomLeft" state="frozen"/>
      <selection pane="bottomLeft" activeCell="A66" sqref="A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3" si="3">F34*G34</f>
        <v>10500</v>
      </c>
      <c r="I34" s="19">
        <v>0</v>
      </c>
      <c r="J34" s="19">
        <f t="shared" ref="J34:J63" si="4">H34-I34</f>
        <v>10500</v>
      </c>
      <c r="K34" s="19">
        <f t="shared" ref="K34:K63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  <row r="64" spans="1:11" x14ac:dyDescent="0.45">
      <c r="A64" s="4">
        <v>46191</v>
      </c>
      <c r="B64" s="5" t="s">
        <v>50</v>
      </c>
      <c r="C64" s="5" t="s">
        <v>257</v>
      </c>
      <c r="D64" s="5">
        <v>9433</v>
      </c>
      <c r="E64" s="9" t="s">
        <v>71</v>
      </c>
      <c r="F64" s="9">
        <v>40</v>
      </c>
      <c r="G64" s="5">
        <v>100</v>
      </c>
      <c r="H64" s="19">
        <f t="shared" ref="H64:H65" si="6">F64*G64</f>
        <v>4000</v>
      </c>
      <c r="I64" s="19">
        <v>0</v>
      </c>
      <c r="J64" s="19">
        <f t="shared" ref="J64:J65" si="7">H64-I64</f>
        <v>4000</v>
      </c>
      <c r="K64" s="19">
        <f t="shared" ref="K64:K65" si="8">J64</f>
        <v>4000</v>
      </c>
    </row>
    <row r="65" spans="1:11" x14ac:dyDescent="0.45">
      <c r="A65" s="4">
        <v>46195</v>
      </c>
      <c r="B65" s="5" t="s">
        <v>50</v>
      </c>
      <c r="C65" s="5" t="s">
        <v>257</v>
      </c>
      <c r="D65" s="5">
        <v>4204</v>
      </c>
      <c r="E65" s="9" t="s">
        <v>300</v>
      </c>
      <c r="F65" s="9">
        <v>40</v>
      </c>
      <c r="G65" s="5">
        <v>500</v>
      </c>
      <c r="H65" s="19">
        <f t="shared" si="6"/>
        <v>20000</v>
      </c>
      <c r="I65" s="19">
        <v>0</v>
      </c>
      <c r="J65" s="19">
        <f t="shared" si="7"/>
        <v>20000</v>
      </c>
      <c r="K65" s="19">
        <f t="shared" si="8"/>
        <v>20000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67"/>
  <sheetViews>
    <sheetView zoomScale="80" zoomScaleNormal="80" workbookViewId="0">
      <pane xSplit="4" ySplit="1" topLeftCell="E947" activePane="bottomRight" state="frozen"/>
      <selection pane="topRight" activeCell="E1" sqref="E1"/>
      <selection pane="bottomLeft" activeCell="A2" sqref="A2"/>
      <selection pane="bottomRight" activeCell="N966" sqref="N966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472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472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472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472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472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472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472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472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67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  <row r="963" spans="1:14" x14ac:dyDescent="0.45">
      <c r="A963" s="4">
        <v>46188</v>
      </c>
      <c r="B963" s="4">
        <v>46190</v>
      </c>
      <c r="C963" s="5" t="s">
        <v>446</v>
      </c>
      <c r="D963" s="9" t="s">
        <v>447</v>
      </c>
      <c r="E963" s="5" t="s">
        <v>67</v>
      </c>
      <c r="F963" s="5" t="s">
        <v>29</v>
      </c>
      <c r="G963" s="5" t="s">
        <v>41</v>
      </c>
      <c r="H963" s="5">
        <v>100</v>
      </c>
      <c r="I963" s="7">
        <v>89810</v>
      </c>
      <c r="J963" s="9">
        <v>0</v>
      </c>
      <c r="K963" s="9">
        <v>0</v>
      </c>
      <c r="L963" s="9" t="s">
        <v>90</v>
      </c>
      <c r="M963" s="15">
        <f t="shared" si="21"/>
        <v>8981000</v>
      </c>
      <c r="N963" s="19">
        <v>1120000</v>
      </c>
    </row>
    <row r="964" spans="1:14" x14ac:dyDescent="0.45">
      <c r="A964" s="4">
        <v>46190</v>
      </c>
      <c r="B964" s="4">
        <v>46192</v>
      </c>
      <c r="C964" s="5" t="s">
        <v>473</v>
      </c>
      <c r="D964" s="9" t="s">
        <v>474</v>
      </c>
      <c r="E964" s="5" t="s">
        <v>67</v>
      </c>
      <c r="F964" s="5" t="s">
        <v>29</v>
      </c>
      <c r="G964" s="5" t="s">
        <v>30</v>
      </c>
      <c r="H964" s="5">
        <v>100</v>
      </c>
      <c r="I964" s="72">
        <v>4309.5</v>
      </c>
      <c r="J964" s="9">
        <v>0</v>
      </c>
      <c r="K964" s="9">
        <v>0</v>
      </c>
      <c r="L964" s="9" t="s">
        <v>475</v>
      </c>
      <c r="M964" s="15">
        <f t="shared" si="21"/>
        <v>430950</v>
      </c>
      <c r="N964" s="19">
        <v>0</v>
      </c>
    </row>
    <row r="965" spans="1:14" x14ac:dyDescent="0.45">
      <c r="A965" s="4">
        <v>46191</v>
      </c>
      <c r="B965" s="4">
        <v>46195</v>
      </c>
      <c r="C965" s="5">
        <v>1488</v>
      </c>
      <c r="D965" s="9" t="s">
        <v>419</v>
      </c>
      <c r="E965" s="5" t="s">
        <v>67</v>
      </c>
      <c r="F965" s="5" t="s">
        <v>29</v>
      </c>
      <c r="G965" s="5" t="s">
        <v>41</v>
      </c>
      <c r="H965" s="5">
        <v>28</v>
      </c>
      <c r="I965" s="72">
        <v>1814</v>
      </c>
      <c r="J965" s="9">
        <v>0</v>
      </c>
      <c r="K965" s="9">
        <v>0</v>
      </c>
      <c r="L965" s="9" t="s">
        <v>90</v>
      </c>
      <c r="M965" s="15">
        <f t="shared" si="21"/>
        <v>50792</v>
      </c>
      <c r="N965" s="19">
        <f>-5050-2800</f>
        <v>-7850</v>
      </c>
    </row>
    <row r="966" spans="1:14" x14ac:dyDescent="0.45">
      <c r="A966" s="4">
        <v>46191</v>
      </c>
      <c r="B966" s="4">
        <v>46195</v>
      </c>
      <c r="C966" s="5">
        <v>3563</v>
      </c>
      <c r="D966" s="9" t="s">
        <v>370</v>
      </c>
      <c r="E966" s="5" t="s">
        <v>67</v>
      </c>
      <c r="F966" s="5" t="s">
        <v>29</v>
      </c>
      <c r="G966" s="5" t="s">
        <v>41</v>
      </c>
      <c r="H966" s="5">
        <v>100</v>
      </c>
      <c r="I966" s="72">
        <v>9414</v>
      </c>
      <c r="J966" s="9">
        <v>0</v>
      </c>
      <c r="K966" s="9">
        <v>0</v>
      </c>
      <c r="L966" s="9" t="s">
        <v>90</v>
      </c>
      <c r="M966" s="15">
        <f t="shared" si="21"/>
        <v>941400</v>
      </c>
      <c r="N966" s="19">
        <v>-143600</v>
      </c>
    </row>
    <row r="967" spans="1:14" x14ac:dyDescent="0.45">
      <c r="A967" s="4">
        <v>46192</v>
      </c>
      <c r="B967" s="4">
        <v>46196</v>
      </c>
      <c r="C967" s="5">
        <v>9984</v>
      </c>
      <c r="D967" s="9" t="s">
        <v>93</v>
      </c>
      <c r="E967" s="5" t="s">
        <v>67</v>
      </c>
      <c r="F967" s="5" t="s">
        <v>29</v>
      </c>
      <c r="G967" s="5" t="s">
        <v>30</v>
      </c>
      <c r="H967" s="5">
        <v>100</v>
      </c>
      <c r="I967" s="72">
        <v>7139</v>
      </c>
      <c r="J967" s="9">
        <v>0</v>
      </c>
      <c r="K967" s="9">
        <v>0</v>
      </c>
      <c r="L967" s="9" t="s">
        <v>475</v>
      </c>
      <c r="M967" s="15">
        <f t="shared" si="21"/>
        <v>713900</v>
      </c>
      <c r="N967" s="19">
        <v>0</v>
      </c>
    </row>
  </sheetData>
  <autoFilter ref="A1:N963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95"/>
  <sheetViews>
    <sheetView zoomScale="90" zoomScaleNormal="90" workbookViewId="0">
      <pane ySplit="1" topLeftCell="A80" activePane="bottomLeft" state="frozen"/>
      <selection activeCell="F1" sqref="F1"/>
      <selection pane="bottomLeft" activeCell="I96" sqref="I96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95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9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  <row r="95" spans="1:11" x14ac:dyDescent="0.45">
      <c r="A95" s="4">
        <v>46191</v>
      </c>
      <c r="B95" s="5" t="s">
        <v>50</v>
      </c>
      <c r="C95" s="5" t="s">
        <v>68</v>
      </c>
      <c r="D95" s="5">
        <v>1343</v>
      </c>
      <c r="E95" s="9" t="s">
        <v>387</v>
      </c>
      <c r="F95" s="9">
        <v>23.7</v>
      </c>
      <c r="G95" s="5">
        <v>50</v>
      </c>
      <c r="H95" s="19">
        <f t="shared" si="18"/>
        <v>1185</v>
      </c>
      <c r="I95" s="19">
        <v>240</v>
      </c>
      <c r="J95" s="19">
        <f t="shared" ref="J95" si="19">H95-I95</f>
        <v>945</v>
      </c>
      <c r="K95" s="19">
        <f t="shared" ref="K95" si="20">J95</f>
        <v>945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77"/>
  <sheetViews>
    <sheetView zoomScale="80" zoomScaleNormal="80" workbookViewId="0">
      <pane xSplit="4" ySplit="1" topLeftCell="H58" activePane="bottomRight" state="frozen"/>
      <selection pane="topRight" activeCell="E1" sqref="E1"/>
      <selection pane="bottomLeft" activeCell="A2" sqref="A2"/>
      <selection pane="bottomRight" activeCell="B81" sqref="B81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9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9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9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9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9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9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5"/>
  <sheetViews>
    <sheetView zoomScale="90" zoomScaleNormal="90" workbookViewId="0">
      <pane xSplit="3" ySplit="1" topLeftCell="D23" activePane="bottomRight" state="frozen"/>
      <selection pane="topRight" activeCell="D1" sqref="D1"/>
      <selection pane="bottomLeft" activeCell="A2" sqref="A2"/>
      <selection pane="bottomRight" activeCell="B30" sqref="B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46188</v>
      </c>
      <c r="B29" s="4">
        <v>46192</v>
      </c>
      <c r="C29" s="9" t="s">
        <v>282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7982</v>
      </c>
      <c r="I29" s="21">
        <v>37587</v>
      </c>
      <c r="J29" s="21">
        <v>30000</v>
      </c>
      <c r="K29" s="21">
        <v>0</v>
      </c>
    </row>
    <row r="30" spans="1:11" x14ac:dyDescent="0.45">
      <c r="A30" s="4">
        <v>46128</v>
      </c>
      <c r="B30" s="4">
        <v>45950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40242</v>
      </c>
      <c r="I30" s="21">
        <v>17395</v>
      </c>
      <c r="J30" s="21">
        <v>70000</v>
      </c>
      <c r="K30" s="21">
        <v>0</v>
      </c>
    </row>
    <row r="31" spans="1:11" x14ac:dyDescent="0.45">
      <c r="A31" s="4">
        <v>45974</v>
      </c>
      <c r="B31" s="4">
        <v>45979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38038</v>
      </c>
      <c r="I31" s="21">
        <v>18403</v>
      </c>
      <c r="J31" s="21">
        <v>70000</v>
      </c>
      <c r="K31" s="21">
        <v>0</v>
      </c>
    </row>
    <row r="32" spans="1:11" x14ac:dyDescent="0.45">
      <c r="A32" s="4">
        <v>46006</v>
      </c>
      <c r="B32" s="4">
        <v>46009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37910</v>
      </c>
      <c r="I32" s="21">
        <v>18465</v>
      </c>
      <c r="J32" s="21">
        <v>70000</v>
      </c>
      <c r="K32" s="21">
        <v>0</v>
      </c>
    </row>
    <row r="33" spans="1:11" x14ac:dyDescent="0.45">
      <c r="A33" s="4">
        <v>46036</v>
      </c>
      <c r="B33" s="4">
        <v>46041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35338</v>
      </c>
      <c r="I33" s="21">
        <v>19809</v>
      </c>
      <c r="J33" s="21">
        <v>70000</v>
      </c>
      <c r="K33" s="21">
        <v>0</v>
      </c>
    </row>
    <row r="34" spans="1:11" x14ac:dyDescent="0.45">
      <c r="A34" s="4">
        <v>46066</v>
      </c>
      <c r="B34" s="4">
        <v>46071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34978</v>
      </c>
      <c r="I34" s="21">
        <v>20013</v>
      </c>
      <c r="J34" s="21">
        <v>70000</v>
      </c>
      <c r="K34" s="21">
        <v>0</v>
      </c>
    </row>
    <row r="35" spans="1:11" x14ac:dyDescent="0.45">
      <c r="A35" s="4">
        <v>46094</v>
      </c>
      <c r="B35" s="4">
        <v>46099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35624</v>
      </c>
      <c r="I35" s="21">
        <v>19650</v>
      </c>
      <c r="J35" s="21">
        <v>70000</v>
      </c>
      <c r="K35" s="21">
        <v>0</v>
      </c>
    </row>
    <row r="36" spans="1:11" x14ac:dyDescent="0.45">
      <c r="A36" s="4">
        <v>46126</v>
      </c>
      <c r="B36" s="4">
        <v>46129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33669</v>
      </c>
      <c r="I36" s="21">
        <v>20791</v>
      </c>
      <c r="J36" s="21">
        <v>70000</v>
      </c>
      <c r="K36" s="21">
        <v>0</v>
      </c>
    </row>
    <row r="37" spans="1:11" x14ac:dyDescent="0.45">
      <c r="A37" s="4">
        <v>46155</v>
      </c>
      <c r="B37" s="4">
        <v>46160</v>
      </c>
      <c r="C37" s="9" t="s">
        <v>377</v>
      </c>
      <c r="D37" s="5" t="s">
        <v>159</v>
      </c>
      <c r="E37" s="5" t="s">
        <v>283</v>
      </c>
      <c r="F37" s="5" t="s">
        <v>30</v>
      </c>
      <c r="G37" s="5" t="s">
        <v>284</v>
      </c>
      <c r="H37" s="21">
        <v>32999</v>
      </c>
      <c r="I37" s="21">
        <v>21213</v>
      </c>
      <c r="J37" s="21">
        <v>70000</v>
      </c>
      <c r="K37" s="21">
        <v>0</v>
      </c>
    </row>
    <row r="38" spans="1:11" x14ac:dyDescent="0.45">
      <c r="A38" s="4">
        <v>46188</v>
      </c>
      <c r="B38" s="4">
        <v>46191</v>
      </c>
      <c r="C38" s="9" t="s">
        <v>377</v>
      </c>
      <c r="D38" s="5" t="s">
        <v>159</v>
      </c>
      <c r="E38" s="5" t="s">
        <v>283</v>
      </c>
      <c r="F38" s="5" t="s">
        <v>30</v>
      </c>
      <c r="G38" s="5" t="s">
        <v>284</v>
      </c>
      <c r="H38" s="21">
        <v>31937</v>
      </c>
      <c r="I38" s="21">
        <v>21918</v>
      </c>
      <c r="J38" s="21">
        <v>70000</v>
      </c>
      <c r="K38" s="21">
        <v>0</v>
      </c>
    </row>
    <row r="39" spans="1:11" x14ac:dyDescent="0.45">
      <c r="A39" s="4">
        <v>44368</v>
      </c>
      <c r="B39" s="4">
        <v>44371</v>
      </c>
      <c r="C39" s="9" t="s">
        <v>163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21735</v>
      </c>
      <c r="I39" s="8">
        <v>13803</v>
      </c>
      <c r="J39" s="8">
        <v>30000</v>
      </c>
      <c r="K39" s="21">
        <v>0</v>
      </c>
    </row>
    <row r="40" spans="1:11" x14ac:dyDescent="0.45">
      <c r="A40" s="4">
        <v>44377</v>
      </c>
      <c r="B40" s="4">
        <v>44382</v>
      </c>
      <c r="C40" s="9" t="s">
        <v>163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7034</v>
      </c>
      <c r="I40" s="8">
        <v>14217</v>
      </c>
      <c r="J40" s="8">
        <v>10000</v>
      </c>
      <c r="K40" s="21">
        <v>0</v>
      </c>
    </row>
    <row r="41" spans="1:11" x14ac:dyDescent="0.45">
      <c r="A41" s="4">
        <v>44529</v>
      </c>
      <c r="B41" s="4">
        <v>44532</v>
      </c>
      <c r="C41" s="9" t="s">
        <v>163</v>
      </c>
      <c r="D41" s="5" t="s">
        <v>159</v>
      </c>
      <c r="E41" s="5" t="s">
        <v>295</v>
      </c>
      <c r="F41" s="5" t="s">
        <v>298</v>
      </c>
      <c r="G41" s="5"/>
      <c r="H41" s="8">
        <v>28769</v>
      </c>
      <c r="I41" s="8">
        <v>13383</v>
      </c>
      <c r="J41" s="8">
        <v>38502</v>
      </c>
      <c r="K41" s="19">
        <v>-1498</v>
      </c>
    </row>
    <row r="42" spans="1:11" x14ac:dyDescent="0.45">
      <c r="A42" s="4">
        <v>44403</v>
      </c>
      <c r="B42" s="4">
        <v>44406</v>
      </c>
      <c r="C42" s="9" t="s">
        <v>163</v>
      </c>
      <c r="D42" s="5" t="s">
        <v>159</v>
      </c>
      <c r="E42" s="5" t="s">
        <v>67</v>
      </c>
      <c r="F42" s="5" t="s">
        <v>30</v>
      </c>
      <c r="G42" s="5" t="s">
        <v>160</v>
      </c>
      <c r="H42" s="8">
        <v>7310</v>
      </c>
      <c r="I42" s="8">
        <v>13681</v>
      </c>
      <c r="J42" s="8">
        <v>10000</v>
      </c>
      <c r="K42" s="21">
        <v>0</v>
      </c>
    </row>
    <row r="43" spans="1:11" x14ac:dyDescent="0.45">
      <c r="A43" s="4">
        <v>44525</v>
      </c>
      <c r="B43" s="4">
        <v>44530</v>
      </c>
      <c r="C43" s="9" t="s">
        <v>163</v>
      </c>
      <c r="D43" s="5" t="s">
        <v>159</v>
      </c>
      <c r="E43" s="5" t="s">
        <v>67</v>
      </c>
      <c r="F43" s="5" t="s">
        <v>298</v>
      </c>
      <c r="G43" s="5"/>
      <c r="H43" s="8">
        <v>7310</v>
      </c>
      <c r="I43" s="8">
        <v>13973</v>
      </c>
      <c r="J43" s="8">
        <v>10214</v>
      </c>
      <c r="K43" s="19">
        <v>214</v>
      </c>
    </row>
    <row r="44" spans="1:11" x14ac:dyDescent="0.45">
      <c r="A44" s="4">
        <v>44165</v>
      </c>
      <c r="B44" s="4">
        <v>44168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3846</v>
      </c>
      <c r="I44" s="8">
        <v>13000</v>
      </c>
      <c r="J44" s="8">
        <v>5000</v>
      </c>
      <c r="K44" s="21">
        <v>0</v>
      </c>
    </row>
    <row r="45" spans="1:11" x14ac:dyDescent="0.45">
      <c r="A45" s="4">
        <v>44201</v>
      </c>
      <c r="B45" s="4">
        <v>44204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7604</v>
      </c>
      <c r="I45" s="8">
        <v>13152</v>
      </c>
      <c r="J45" s="8">
        <v>10000</v>
      </c>
      <c r="K45" s="21">
        <v>0</v>
      </c>
    </row>
    <row r="46" spans="1:11" x14ac:dyDescent="0.45">
      <c r="A46" s="4">
        <v>44236</v>
      </c>
      <c r="B46" s="4">
        <v>44242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7041</v>
      </c>
      <c r="I46" s="8">
        <v>14202</v>
      </c>
      <c r="J46" s="8">
        <v>10000</v>
      </c>
      <c r="K46" s="21">
        <v>0</v>
      </c>
    </row>
    <row r="47" spans="1:11" x14ac:dyDescent="0.45">
      <c r="A47" s="4">
        <v>44257</v>
      </c>
      <c r="B47" s="4">
        <v>44260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6947</v>
      </c>
      <c r="I47" s="8">
        <v>14394</v>
      </c>
      <c r="J47" s="8">
        <v>10000</v>
      </c>
      <c r="K47" s="21">
        <v>0</v>
      </c>
    </row>
    <row r="48" spans="1:11" x14ac:dyDescent="0.45">
      <c r="A48" s="4">
        <v>44295</v>
      </c>
      <c r="B48" s="4">
        <v>44300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6460</v>
      </c>
      <c r="I48" s="8">
        <v>15481</v>
      </c>
      <c r="J48" s="8">
        <v>10000</v>
      </c>
      <c r="K48" s="21">
        <v>0</v>
      </c>
    </row>
    <row r="49" spans="1:11" x14ac:dyDescent="0.45">
      <c r="A49" s="4">
        <v>44327</v>
      </c>
      <c r="B49" s="4">
        <v>44330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3167</v>
      </c>
      <c r="I49" s="8">
        <v>15789</v>
      </c>
      <c r="J49" s="8">
        <v>5000</v>
      </c>
      <c r="K49" s="21">
        <v>0</v>
      </c>
    </row>
    <row r="50" spans="1:11" x14ac:dyDescent="0.45">
      <c r="A50" s="4">
        <v>44350</v>
      </c>
      <c r="B50" s="4">
        <v>44355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6263</v>
      </c>
      <c r="I50" s="8">
        <v>15967</v>
      </c>
      <c r="J50" s="8">
        <v>10000</v>
      </c>
      <c r="K50" s="21">
        <v>0</v>
      </c>
    </row>
    <row r="51" spans="1:11" x14ac:dyDescent="0.45">
      <c r="A51" s="4">
        <v>44377</v>
      </c>
      <c r="B51" s="4">
        <v>44382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6081</v>
      </c>
      <c r="I51" s="8">
        <v>16444</v>
      </c>
      <c r="J51" s="8">
        <v>10000</v>
      </c>
      <c r="K51" s="21">
        <v>0</v>
      </c>
    </row>
    <row r="52" spans="1:11" x14ac:dyDescent="0.45">
      <c r="A52" s="4">
        <v>44921</v>
      </c>
      <c r="B52" s="4">
        <v>44924</v>
      </c>
      <c r="C52" s="9" t="s">
        <v>158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24940</v>
      </c>
      <c r="I52" s="8">
        <v>17961</v>
      </c>
      <c r="J52" s="8">
        <v>44794</v>
      </c>
      <c r="K52" s="21">
        <v>0</v>
      </c>
    </row>
    <row r="53" spans="1:11" x14ac:dyDescent="0.45">
      <c r="A53" s="4">
        <v>45243</v>
      </c>
      <c r="B53" s="4">
        <v>45246</v>
      </c>
      <c r="C53" s="9" t="s">
        <v>158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590</v>
      </c>
      <c r="I53" s="8">
        <v>23925</v>
      </c>
      <c r="J53" s="8">
        <v>1410</v>
      </c>
      <c r="K53" s="21">
        <v>0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295</v>
      </c>
      <c r="F54" s="5" t="s">
        <v>289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45772</v>
      </c>
      <c r="B55" s="4">
        <v>45778</v>
      </c>
      <c r="C55" s="9" t="s">
        <v>158</v>
      </c>
      <c r="D55" s="5" t="s">
        <v>159</v>
      </c>
      <c r="E55" s="5" t="s">
        <v>295</v>
      </c>
      <c r="F55" s="5" t="s">
        <v>298</v>
      </c>
      <c r="G55" s="5"/>
      <c r="H55" s="21">
        <v>69093</v>
      </c>
      <c r="I55" s="19">
        <v>28502</v>
      </c>
      <c r="J55" s="19">
        <v>196929</v>
      </c>
      <c r="K55" s="21">
        <v>86850</v>
      </c>
    </row>
    <row r="56" spans="1:11" x14ac:dyDescent="0.45">
      <c r="A56" s="4">
        <v>44404</v>
      </c>
      <c r="B56" s="4">
        <v>44407</v>
      </c>
      <c r="C56" s="9" t="s">
        <v>158</v>
      </c>
      <c r="D56" s="5" t="s">
        <v>159</v>
      </c>
      <c r="E56" s="5" t="s">
        <v>67</v>
      </c>
      <c r="F56" s="5" t="s">
        <v>30</v>
      </c>
      <c r="G56" s="5" t="s">
        <v>160</v>
      </c>
      <c r="H56" s="8">
        <v>11832</v>
      </c>
      <c r="I56" s="8">
        <v>16903</v>
      </c>
      <c r="J56" s="8">
        <v>20000</v>
      </c>
      <c r="K56" s="21">
        <v>0</v>
      </c>
    </row>
    <row r="57" spans="1:11" x14ac:dyDescent="0.45">
      <c r="A57" s="4">
        <v>44435</v>
      </c>
      <c r="B57" s="4">
        <v>44440</v>
      </c>
      <c r="C57" s="9" t="s">
        <v>158</v>
      </c>
      <c r="D57" s="5" t="s">
        <v>159</v>
      </c>
      <c r="E57" s="5" t="s">
        <v>67</v>
      </c>
      <c r="F57" s="5" t="s">
        <v>298</v>
      </c>
      <c r="G57" s="5"/>
      <c r="H57" s="8">
        <v>11832</v>
      </c>
      <c r="I57" s="8">
        <v>17067</v>
      </c>
      <c r="J57" s="8">
        <v>20194</v>
      </c>
      <c r="K57" s="19">
        <v>194</v>
      </c>
    </row>
    <row r="58" spans="1:11" x14ac:dyDescent="0.45">
      <c r="A58" s="4">
        <v>45656</v>
      </c>
      <c r="B58" s="4">
        <v>45663</v>
      </c>
      <c r="C58" s="9" t="s">
        <v>158</v>
      </c>
      <c r="D58" s="5" t="s">
        <v>159</v>
      </c>
      <c r="E58" s="5" t="s">
        <v>294</v>
      </c>
      <c r="F58" s="5" t="s">
        <v>296</v>
      </c>
      <c r="G58" s="5"/>
      <c r="H58" s="21">
        <v>3846</v>
      </c>
      <c r="I58" s="9"/>
      <c r="J58" s="9">
        <v>0</v>
      </c>
      <c r="K58" s="21">
        <v>0</v>
      </c>
    </row>
    <row r="59" spans="1:11" x14ac:dyDescent="0.45">
      <c r="A59" s="4">
        <v>45824</v>
      </c>
      <c r="B59" s="4">
        <v>45827</v>
      </c>
      <c r="C59" s="9" t="s">
        <v>158</v>
      </c>
      <c r="D59" s="5" t="s">
        <v>159</v>
      </c>
      <c r="E59" s="5" t="s">
        <v>68</v>
      </c>
      <c r="F59" s="5" t="s">
        <v>298</v>
      </c>
      <c r="G59" s="5"/>
      <c r="H59" s="21">
        <v>3846</v>
      </c>
      <c r="I59" s="19">
        <v>31398</v>
      </c>
      <c r="J59" s="19">
        <v>12076</v>
      </c>
      <c r="K59" s="21">
        <v>-1071</v>
      </c>
    </row>
    <row r="60" spans="1:11" x14ac:dyDescent="0.45">
      <c r="A60" s="4">
        <v>44188</v>
      </c>
      <c r="B60" s="4">
        <v>44193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4490</v>
      </c>
      <c r="I60" s="8">
        <v>22273</v>
      </c>
      <c r="J60" s="8">
        <v>10000</v>
      </c>
      <c r="K60" s="21">
        <v>0</v>
      </c>
    </row>
    <row r="61" spans="1:11" x14ac:dyDescent="0.45">
      <c r="A61" s="4">
        <v>44224</v>
      </c>
      <c r="B61" s="4">
        <v>44229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2108</v>
      </c>
      <c r="I61" s="8">
        <v>23721</v>
      </c>
      <c r="J61" s="8">
        <v>5000</v>
      </c>
      <c r="K61" s="21">
        <v>0</v>
      </c>
    </row>
    <row r="62" spans="1:11" x14ac:dyDescent="0.45">
      <c r="A62" s="4">
        <v>44257</v>
      </c>
      <c r="B62" s="4">
        <v>44260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1938</v>
      </c>
      <c r="I62" s="8">
        <v>25804</v>
      </c>
      <c r="J62" s="8">
        <v>5000</v>
      </c>
      <c r="K62" s="21">
        <v>0</v>
      </c>
    </row>
    <row r="63" spans="1:11" x14ac:dyDescent="0.45">
      <c r="A63" s="4">
        <v>44295</v>
      </c>
      <c r="B63" s="4">
        <v>44300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1920</v>
      </c>
      <c r="I63" s="8">
        <v>26043</v>
      </c>
      <c r="J63" s="8">
        <v>5000</v>
      </c>
      <c r="K63" s="21">
        <v>0</v>
      </c>
    </row>
    <row r="64" spans="1:11" x14ac:dyDescent="0.45">
      <c r="A64" s="4">
        <v>44327</v>
      </c>
      <c r="B64" s="4">
        <v>44330</v>
      </c>
      <c r="C64" s="9" t="s">
        <v>162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4166</v>
      </c>
      <c r="I64" s="8">
        <v>24007</v>
      </c>
      <c r="J64" s="8">
        <v>10000</v>
      </c>
      <c r="K64" s="21">
        <v>0</v>
      </c>
    </row>
    <row r="65" spans="1:11" x14ac:dyDescent="0.45">
      <c r="A65" s="4">
        <v>44350</v>
      </c>
      <c r="B65" s="4">
        <v>44355</v>
      </c>
      <c r="C65" s="9" t="s">
        <v>162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1983</v>
      </c>
      <c r="I65" s="8">
        <v>25216</v>
      </c>
      <c r="J65" s="8">
        <v>5000</v>
      </c>
      <c r="K65" s="21">
        <v>0</v>
      </c>
    </row>
    <row r="66" spans="1:11" x14ac:dyDescent="0.45">
      <c r="A66" s="4">
        <v>44362</v>
      </c>
      <c r="B66" s="4">
        <v>44365</v>
      </c>
      <c r="C66" s="9" t="s">
        <v>162</v>
      </c>
      <c r="D66" s="5" t="s">
        <v>159</v>
      </c>
      <c r="E66" s="5" t="s">
        <v>295</v>
      </c>
      <c r="F66" s="5" t="s">
        <v>298</v>
      </c>
      <c r="G66" s="5"/>
      <c r="H66" s="8">
        <v>16605</v>
      </c>
      <c r="I66" s="8">
        <v>26019</v>
      </c>
      <c r="J66" s="8">
        <v>43205</v>
      </c>
      <c r="K66" s="19">
        <v>3205</v>
      </c>
    </row>
    <row r="67" spans="1:11" x14ac:dyDescent="0.45">
      <c r="A67" s="4">
        <v>44187</v>
      </c>
      <c r="B67" s="4">
        <v>44190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6447</v>
      </c>
      <c r="I67" s="8">
        <v>15511</v>
      </c>
      <c r="J67" s="8">
        <v>10000</v>
      </c>
      <c r="K67" s="19">
        <v>0</v>
      </c>
    </row>
    <row r="68" spans="1:11" x14ac:dyDescent="0.45">
      <c r="A68" s="4">
        <v>44224</v>
      </c>
      <c r="B68" s="4">
        <v>44229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3093</v>
      </c>
      <c r="I68" s="8">
        <v>16167</v>
      </c>
      <c r="J68" s="8">
        <v>5000</v>
      </c>
      <c r="K68" s="19">
        <v>0</v>
      </c>
    </row>
    <row r="69" spans="1:11" x14ac:dyDescent="0.45">
      <c r="A69" s="4">
        <v>44257</v>
      </c>
      <c r="B69" s="4">
        <v>44260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2978</v>
      </c>
      <c r="I69" s="8">
        <v>16792</v>
      </c>
      <c r="J69" s="8">
        <v>5000</v>
      </c>
      <c r="K69" s="19">
        <v>0</v>
      </c>
    </row>
    <row r="70" spans="1:11" x14ac:dyDescent="0.45">
      <c r="A70" s="4">
        <v>44295</v>
      </c>
      <c r="B70" s="4">
        <v>44300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2810</v>
      </c>
      <c r="I70" s="8">
        <v>17792</v>
      </c>
      <c r="J70" s="8">
        <v>5000</v>
      </c>
      <c r="K70" s="19">
        <v>0</v>
      </c>
    </row>
    <row r="71" spans="1:11" x14ac:dyDescent="0.45">
      <c r="A71" s="4">
        <v>44327</v>
      </c>
      <c r="B71" s="4">
        <v>44330</v>
      </c>
      <c r="C71" s="9" t="s">
        <v>161</v>
      </c>
      <c r="D71" s="5" t="s">
        <v>159</v>
      </c>
      <c r="E71" s="5" t="s">
        <v>295</v>
      </c>
      <c r="F71" s="5" t="s">
        <v>30</v>
      </c>
      <c r="G71" s="5" t="s">
        <v>160</v>
      </c>
      <c r="H71" s="8">
        <v>2903</v>
      </c>
      <c r="I71" s="8">
        <v>17225</v>
      </c>
      <c r="J71" s="8">
        <v>5000</v>
      </c>
      <c r="K71" s="19">
        <v>0</v>
      </c>
    </row>
    <row r="72" spans="1:11" x14ac:dyDescent="0.45">
      <c r="A72" s="4">
        <v>44350</v>
      </c>
      <c r="B72" s="4">
        <v>44355</v>
      </c>
      <c r="C72" s="9" t="s">
        <v>161</v>
      </c>
      <c r="D72" s="5" t="s">
        <v>159</v>
      </c>
      <c r="E72" s="5" t="s">
        <v>295</v>
      </c>
      <c r="F72" s="5" t="s">
        <v>30</v>
      </c>
      <c r="G72" s="5" t="s">
        <v>160</v>
      </c>
      <c r="H72" s="8">
        <v>2819</v>
      </c>
      <c r="I72" s="8">
        <v>17736</v>
      </c>
      <c r="J72" s="8">
        <v>5000</v>
      </c>
      <c r="K72" s="19">
        <v>0</v>
      </c>
    </row>
    <row r="73" spans="1:11" x14ac:dyDescent="0.45">
      <c r="A73" s="4">
        <v>44362</v>
      </c>
      <c r="B73" s="4">
        <v>44365</v>
      </c>
      <c r="C73" s="9" t="s">
        <v>161</v>
      </c>
      <c r="D73" s="5" t="s">
        <v>159</v>
      </c>
      <c r="E73" s="5" t="s">
        <v>295</v>
      </c>
      <c r="F73" s="5" t="s">
        <v>298</v>
      </c>
      <c r="G73" s="5"/>
      <c r="H73" s="8">
        <v>21050</v>
      </c>
      <c r="I73" s="8">
        <v>18410</v>
      </c>
      <c r="J73" s="8">
        <v>38753</v>
      </c>
      <c r="K73" s="19">
        <v>3753</v>
      </c>
    </row>
    <row r="74" spans="1:11" x14ac:dyDescent="0.45">
      <c r="A74" s="4">
        <v>45243</v>
      </c>
      <c r="B74" s="4">
        <v>45247</v>
      </c>
      <c r="C74" s="9" t="s">
        <v>230</v>
      </c>
      <c r="D74" s="5" t="s">
        <v>159</v>
      </c>
      <c r="E74" s="5" t="s">
        <v>67</v>
      </c>
      <c r="F74" s="5" t="s">
        <v>30</v>
      </c>
      <c r="G74" s="5" t="s">
        <v>160</v>
      </c>
      <c r="H74" s="19">
        <v>180143</v>
      </c>
      <c r="I74" s="19">
        <v>12456</v>
      </c>
      <c r="J74" s="8">
        <v>224386</v>
      </c>
      <c r="K74" s="21">
        <v>0</v>
      </c>
    </row>
    <row r="75" spans="1:11" x14ac:dyDescent="0.45">
      <c r="A75" s="4">
        <v>45664</v>
      </c>
      <c r="B75" s="4">
        <v>45671</v>
      </c>
      <c r="C75" s="9" t="s">
        <v>230</v>
      </c>
      <c r="D75" s="5" t="s">
        <v>159</v>
      </c>
      <c r="E75" s="5" t="s">
        <v>67</v>
      </c>
      <c r="F75" s="5" t="s">
        <v>298</v>
      </c>
      <c r="G75" s="5"/>
      <c r="H75" s="21">
        <v>180143</v>
      </c>
      <c r="I75" s="21">
        <v>15148</v>
      </c>
      <c r="J75" s="21">
        <v>272881</v>
      </c>
      <c r="K75" s="19">
        <v>48494</v>
      </c>
    </row>
  </sheetData>
  <autoFilter ref="A1:K65" xr:uid="{00000000-0009-0000-0000-000007000000}">
    <sortState xmlns:xlrd2="http://schemas.microsoft.com/office/spreadsheetml/2017/richdata2" ref="A2:K75">
      <sortCondition ref="C1:C6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zoomScale="70" zoomScaleNormal="70"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Q64" sqref="Q6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9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9">
        <v>3</v>
      </c>
      <c r="J59" s="9">
        <v>135</v>
      </c>
      <c r="K59" s="12">
        <f>I59*J59</f>
        <v>405</v>
      </c>
      <c r="L59" s="9">
        <v>160.28</v>
      </c>
      <c r="M59" s="9"/>
      <c r="N59" s="9"/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2026-06-21T12:56:48Z</dcterms:modified>
</cp:coreProperties>
</file>