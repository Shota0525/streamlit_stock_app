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574" documentId="13_ncr:1_{F23918F6-93A0-4FFC-9C54-3B208A91E086}" xr6:coauthVersionLast="47" xr6:coauthVersionMax="47" xr10:uidLastSave="{316413CE-8AEF-4166-BDD2-60043540D671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国内株式_特定!$A$1:$N$852</definedName>
    <definedName name="_xlnm._FilterDatabase" localSheetId="5" hidden="1">国内株式_特定_配当!$A$1:$K$15</definedName>
    <definedName name="_xlnm._FilterDatabase" localSheetId="7" hidden="1">投資信託!$A$1:$K$63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J91" i="5" l="1"/>
  <c r="K91" i="5" s="1"/>
  <c r="H91" i="5"/>
  <c r="M937" i="6" l="1"/>
  <c r="M938" i="6"/>
  <c r="M939" i="6"/>
  <c r="M940" i="6"/>
  <c r="M941" i="6"/>
  <c r="M942" i="6"/>
  <c r="M943" i="6"/>
  <c r="M944" i="6"/>
  <c r="M945" i="6"/>
  <c r="M936" i="6"/>
  <c r="M935" i="6"/>
  <c r="M934" i="6"/>
  <c r="M924" i="6"/>
  <c r="M925" i="6"/>
  <c r="M926" i="6"/>
  <c r="M927" i="6"/>
  <c r="M928" i="6"/>
  <c r="M929" i="6"/>
  <c r="M930" i="6"/>
  <c r="M931" i="6"/>
  <c r="M932" i="6"/>
  <c r="M933" i="6"/>
  <c r="J61" i="2"/>
  <c r="K61" i="2"/>
  <c r="H61" i="2"/>
  <c r="M921" i="6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60" i="2"/>
  <c r="J60" i="2"/>
  <c r="K60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<sst xmlns="http://schemas.openxmlformats.org/spreadsheetml/2006/main" count="7275" uniqueCount="465">
  <si>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</si>
  <si>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</si>
  <si>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</si>
  <si>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</si>
  <si>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</si>
  <si>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</si>
  <si>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</si>
  <si>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</si>
  <si>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</si>
  <si>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</si>
  <si>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</si>
  <si>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</si>
  <si>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</si>
  <si>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</si>
  <si>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</si>
  <si>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</si>
  <si>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</si>
  <si>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</si>
  <si>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</si>
  <si>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</si>
  <si>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</si>
  <si>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</si>
  <si>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</si>
  <si>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</si>
  <si>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</si>
  <si>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</si>
  <si>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</si>
  <si>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</si>
  <si>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</si>
  <si>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</si>
  <si>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</si>
  <si>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</si>
  <si>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</si>
  <si>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</si>
  <si>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</si>
  <si>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</si>
  <si>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</si>
  <si>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</si>
  <si>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</si>
  <si>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</si>
  <si>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</si>
  <si>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</si>
  <si>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</si>
  <si>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</si>
  <si>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</si>
  <si>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</si>
  <si>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</si>
  <si>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</si>
  <si>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</si>
  <si>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</si>
  <si>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</si>
  <si>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</si>
  <si>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</si>
  <si>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</si>
  <si>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</si>
  <si>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</si>
  <si>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</si>
  <si>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</si>
  <si>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</si>
  <si>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</si>
  <si>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</si>
  <si>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</si>
  <si>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</si>
  <si>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</si>
  <si>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</si>
  <si>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</si>
  <si>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</si>
  <si>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</si>
  <si>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</si>
  <si>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</si>
  <si>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</si>
  <si>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</si>
  <si>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</si>
  <si>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</si>
  <si>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</si>
  <si>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</si>
  <si>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</si>
  <si>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</si>
  <si>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</si>
  <si>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</si>
  <si>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</si>
  <si>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</si>
  <si>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</si>
  <si>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</si>
  <si>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</si>
  <si>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</si>
  <si>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</si>
  <si>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</si>
  <si>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</si>
  <si>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</si>
  <si>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</si>
  <si>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</si>
  <si>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</si>
  <si>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</si>
  <si>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</si>
  <si>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</si>
  <si>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</si>
  <si>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</si>
  <si>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</si>
  <si>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</si>
  <si>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</si>
  <si>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</si>
  <si>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</si>
  <si>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</si>
  <si>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</si>
  <si>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</si>
  <si>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</si>
  <si>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</si>
  <si>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</si>
  <si>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</si>
  <si>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</si>
  <si>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</si>
  <si>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</si>
  <si>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</si>
  <si>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</si>
  <si>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</si>
  <si>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</si>
  <si>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</si>
  <si>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</si>
  <si>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</si>
  <si>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</si>
  <si>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</si>
  <si>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</si>
  <si>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</si>
  <si>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</si>
  <si>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</si>
  <si>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</si>
  <si>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</si>
  <si>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</si>
  <si>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</si>
  <si>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</si>
  <si>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</si>
  <si>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</si>
  <si>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</si>
  <si>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</si>
  <si>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</si>
  <si>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</si>
  <si>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</si>
  <si>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</si>
  <si>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</si>
  <si>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</si>
  <si>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</si>
  <si>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</si>
  <si>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</si>
  <si>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</si>
  <si>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</si>
  <si>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</si>
  <si>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</si>
  <si>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</si>
  <si>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</si>
  <si>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</si>
  <si>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</si>
  <si>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</si>
  <si>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</si>
  <si>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</si>
  <si>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</si>
  <si>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</si>
  <si>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</si>
  <si>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</si>
  <si>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</si>
  <si>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</si>
  <si>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</si>
  <si>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</si>
  <si>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</si>
  <si>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</si>
  <si>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</si>
  <si>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</si>
  <si>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</si>
  <si>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</si>
  <si>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</si>
  <si>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</si>
  <si>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</si>
  <si>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</si>
  <si>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</si>
  <si>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</si>
  <si>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</si>
  <si>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</si>
  <si>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</si>
  <si>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</si>
  <si>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</si>
  <si>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</si>
  <si>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</si>
  <si>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</si>
  <si>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</si>
  <si>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</si>
  <si>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</si>
  <si>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</si>
  <si>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</si>
  <si>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</si>
  <si>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</si>
  <si>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</si>
  <si>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</si>
  <si>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</si>
  <si>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</si>
  <si>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</si>
  <si>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</si>
  <si>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</si>
  <si>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</si>
  <si>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</si>
  <si>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</si>
  <si>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</si>
  <si>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</si>
  <si>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</si>
  <si>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</si>
  <si>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</si>
  <si>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</si>
  <si>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</si>
  <si>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</si>
  <si>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</si>
  <si>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</si>
  <si>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</si>
  <si>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</si>
  <si>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</si>
  <si>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</si>
  <si>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</si>
  <si>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</si>
  <si>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</si>
  <si>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</si>
  <si>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</si>
  <si>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</si>
  <si>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</si>
  <si>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</si>
  <si>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</si>
  <si>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</si>
  <si>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</si>
  <si>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</si>
  <si>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</si>
  <si>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</si>
  <si>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</si>
  <si>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</si>
  <si>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</si>
  <si>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</si>
  <si>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</si>
  <si>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</si>
  <si>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</si>
  <si>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</si>
  <si>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</si>
  <si>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</si>
  <si>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</si>
  <si>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</si>
  <si>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</si>
  <si>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</si>
  <si>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</si>
  <si>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</si>
  <si>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</si>
  <si>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</si>
  <si>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</si>
  <si>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</si>
  <si>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</si>
  <si>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</si>
  <si>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</si>
  <si>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</si>
  <si>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</si>
  <si>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</si>
  <si>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</si>
  <si>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</si>
  <si>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</si>
  <si>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</si>
  <si>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</si>
  <si>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</si>
  <si>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</si>
  <si>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</si>
  <si>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</si>
  <si>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</si>
  <si>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</si>
  <si>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</si>
  <si>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</si>
  <si>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</si>
  <si>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</si>
  <si>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</si>
  <si>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</si>
  <si>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</si>
  <si>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</si>
  <si>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</si>
  <si>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</si>
  <si>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</si>
  <si>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</si>
  <si>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</si>
  <si>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</si>
  <si>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</si>
  <si>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</si>
  <si>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</si>
  <si>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</si>
  <si>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</si>
  <si>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</si>
  <si>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</si>
  <si>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</si>
  <si>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</si>
  <si>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</si>
  <si>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</si>
  <si>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</si>
  <si>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</si>
  <si>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</si>
  <si>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</si>
  <si>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</si>
  <si>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</si>
  <si>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</si>
  <si>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</si>
  <si>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</si>
  <si>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</si>
  <si>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</si>
  <si>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</si>
  <si>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</si>
  <si>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</si>
  <si>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</si>
  <si>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</si>
  <si>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</si>
  <si>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</si>
  <si>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</si>
  <si>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</si>
  <si>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</si>
  <si>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</si>
  <si>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</si>
  <si>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</si>
  <si>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</si>
  <si>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</si>
  <si>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</si>
  <si>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</si>
  <si>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</si>
  <si>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</si>
  <si>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</si>
  <si>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</si>
  <si>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</si>
  <si>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</si>
  <si>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</si>
  <si>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</si>
  <si>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</si>
  <si>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</si>
  <si>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</si>
  <si>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</si>
  <si>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</si>
  <si>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</si>
  <si>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</si>
  <si>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</si>
  <si>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</si>
  <si>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</si>
  <si>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</si>
  <si>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</si>
  <si>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</si>
  <si>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</si>
  <si>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</si>
  <si>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</si>
  <si>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</si>
  <si>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</si>
  <si>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</si>
  <si>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</si>
  <si>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</si>
  <si>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</si>
  <si>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</si>
  <si>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</si>
  <si>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</si>
  <si>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</si>
  <si>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</si>
  <si>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</si>
  <si>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</si>
  <si>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</si>
  <si>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</si>
  <si>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</si>
  <si>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</si>
  <si>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</si>
  <si>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</si>
  <si>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</si>
  <si>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</si>
  <si>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</si>
  <si>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</si>
  <si>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</si>
  <si>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</si>
  <si>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</si>
  <si>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</si>
  <si>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</si>
  <si>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</si>
  <si>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</si>
  <si>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</si>
  <si>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</si>
  <si>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</si>
  <si>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</si>
  <si>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</si>
  <si>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</si>
  <si>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</si>
  <si>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</si>
  <si>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</si>
  <si>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</si>
  <si>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</si>
  <si>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</si>
  <si>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</si>
  <si>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</si>
  <si>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</si>
  <si>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</si>
  <si>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</si>
  <si>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</si>
  <si>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</si>
  <si>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</si>
  <si>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</si>
  <si>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</si>
  <si>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</si>
  <si>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</si>
  <si>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</si>
  <si>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</si>
  <si>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</si>
  <si>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</si>
  <si>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</si>
  <si>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</si>
  <si>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</si>
  <si>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</si>
  <si>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</si>
  <si>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</si>
  <si>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</si>
  <si>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</si>
  <si>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</si>
  <si>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</si>
  <si>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</si>
  <si>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</si>
  <si>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</si>
  <si>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</si>
  <si>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</si>
  <si>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</si>
  <si>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</si>
  <si>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</si>
  <si>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</si>
  <si>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</si>
  <si>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</si>
  <si>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</si>
  <si>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</si>
  <si>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</si>
  <si>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</si>
  <si>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</si>
  <si>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</si>
  <si>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</si>
  <si>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</si>
  <si>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</si>
  <si>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</si>
  <si>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</si>
  <si>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</si>
  <si>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</si>
  <si>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</si>
  <si>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</si>
  <si>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</si>
  <si>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</si>
  <si>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</si>
  <si>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</si>
  <si>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</si>
  <si>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</si>
  <si>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</si>
  <si>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</si>
  <si>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</si>
  <si>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</si>
  <si>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</si>
  <si>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</si>
  <si>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</si>
  <si>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</si>
  <si>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</si>
  <si>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</si>
  <si>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</si>
  <si>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</si>
  <si>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</si>
  <si>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</si>
  <si>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</si>
  <si>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</si>
  <si>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</si>
  <si>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</si>
  <si>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</si>
  <si>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</si>
  <si>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</si>
  <si>
    <t>-</t>
    <phoneticPr fontId="18"/>
  </si>
  <si>
    <t>ダイキン工業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</si>
</sst>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0" fontId="0" fillId="0" borderId="10" xfId="0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F14" sqref="F14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9" t="s">
        <v>213</v>
      </c>
      <c r="C1" s="59"/>
      <c r="D1" s="59"/>
      <c r="E1" s="59"/>
      <c r="F1" s="59" t="s">
        <v>216</v>
      </c>
      <c r="G1" s="59"/>
      <c r="H1" s="59"/>
      <c r="I1" s="59"/>
      <c r="J1" s="59"/>
      <c r="K1" s="59" t="s">
        <v>218</v>
      </c>
      <c r="L1" s="59"/>
      <c r="M1" s="59"/>
      <c r="N1" s="59"/>
      <c r="O1" s="65" t="s">
        <v>302</v>
      </c>
      <c r="P1" s="66"/>
      <c r="Q1" s="66"/>
      <c r="R1" s="67"/>
      <c r="S1" s="37" t="s">
        <v>219</v>
      </c>
      <c r="U1" s="48" t="s">
        <v>361</v>
      </c>
      <c r="V1" s="48" t="s">
        <v>362</v>
      </c>
    </row>
    <row r="2" spans="1:22" x14ac:dyDescent="0.45">
      <c r="B2" s="55" t="s">
        <v>212</v>
      </c>
      <c r="C2" s="55"/>
      <c r="D2" s="55" t="s">
        <v>211</v>
      </c>
      <c r="E2" s="57" t="s">
        <v>214</v>
      </c>
      <c r="F2" s="55" t="s">
        <v>212</v>
      </c>
      <c r="G2" s="55"/>
      <c r="H2" s="55" t="s">
        <v>211</v>
      </c>
      <c r="I2" s="57" t="s">
        <v>214</v>
      </c>
      <c r="J2" s="62" t="s">
        <v>217</v>
      </c>
      <c r="K2" s="55" t="s">
        <v>212</v>
      </c>
      <c r="L2" s="55"/>
      <c r="M2" s="57" t="s">
        <v>214</v>
      </c>
      <c r="N2" s="62" t="s">
        <v>217</v>
      </c>
      <c r="O2" s="63" t="s">
        <v>212</v>
      </c>
      <c r="P2" s="64"/>
      <c r="Q2" s="57" t="s">
        <v>214</v>
      </c>
      <c r="R2" s="62" t="s">
        <v>217</v>
      </c>
      <c r="S2" s="61" t="s">
        <v>214</v>
      </c>
      <c r="U2" s="49">
        <v>44145</v>
      </c>
      <c r="V2" s="49">
        <f ca="1">TODAY()</f>
        <v>46173</v>
      </c>
    </row>
    <row r="3" spans="1:2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5"/>
      <c r="I3" s="57"/>
      <c r="J3" s="57"/>
      <c r="K3" s="32" t="s">
        <v>206</v>
      </c>
      <c r="L3" s="32" t="s">
        <v>207</v>
      </c>
      <c r="M3" s="57"/>
      <c r="N3" s="57"/>
      <c r="O3" s="32" t="s">
        <v>206</v>
      </c>
      <c r="P3" s="32" t="s">
        <v>207</v>
      </c>
      <c r="Q3" s="57"/>
      <c r="R3" s="57"/>
      <c r="S3" s="61"/>
      <c r="U3" s="59" t="s">
        <v>363</v>
      </c>
      <c r="V3" s="59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458895</v>
      </c>
      <c r="E4" s="35">
        <f>SUM(B4:D4)</f>
        <v>3178195</v>
      </c>
      <c r="F4" s="20">
        <f>SUM(F5:F100)</f>
        <v>10639223</v>
      </c>
      <c r="G4" s="20">
        <f>SUM(G5:G100)</f>
        <v>-4158779</v>
      </c>
      <c r="H4" s="20">
        <f>SUM(H5:H100)</f>
        <v>836040</v>
      </c>
      <c r="I4" s="35">
        <f>SUM(F4:H4)</f>
        <v>7316484</v>
      </c>
      <c r="J4" s="35">
        <f>SUM(J5:J100)</f>
        <v>5830140.2753999997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8901212.5303499997</v>
      </c>
      <c r="U4" s="60">
        <f ca="1">(V2-U2)/365</f>
        <v>5.5561643835616437</v>
      </c>
      <c r="V4" s="60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SUMIFS(投資信託!$K$2:$K$1031,投資信託!$B$2:$B$1031,"&gt;=2021/1/1",投資信託!$B$2:$B$1031,"&lt;=2021/12/31",投資信託!$K$2:$K$1031,"&gt;=0")</f>
        <v>7366</v>
      </c>
      <c r="P5" s="19">
        <f>SUMIFS(投資信託!$K$2:$K$1031,投資信託!$B$2:$B$1031,"&gt;=2021/1/1",投資信託!$B$2:$B$1031,"&lt;=2021/12/31",投資信託!$K$2:$K$1031,"&lt;0")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SUMIFS(投資信託!$K$2:$K$1031,投資信託!$B$2:$B$1031,"&gt;=2022/1/1",投資信託!$B$2:$B$1031,"&lt;=2022/12/31",投資信託!$K$2:$K$1031,"&gt;=0")</f>
        <v>0</v>
      </c>
      <c r="P6" s="19">
        <f>SUMIFS(投資信託!$K$2:$K$1031,投資信託!$B$2:$B$1031,"&gt;=2022/1/1",投資信託!$B$2:$B$1031,"&lt;=2022/12/31",投資信託!$K$2:$K$1031,"&lt;0")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SUMIFS(投資信託!$K$2:$K$1031,投資信託!$B$2:$B$1031,"&gt;=2023/1/1",投資信託!$B$2:$B$1031,"&lt;=2023/12/31",投資信託!$K$2:$K$1031,"&gt;=0")</f>
        <v>0</v>
      </c>
      <c r="P7" s="19">
        <f>SUMIFS(投資信託!$K$2:$K$1031,投資信託!$B$2:$B$1031,"&gt;=2023/1/1",投資信託!$B$2:$B$1031,"&lt;=2023/12/31",投資信託!$K$2:$K$1031,"&lt;0")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SUMIFS(投資信託!$K$2:$K$1031,投資信託!$B$2:$B$1031,"&gt;=2024/1/1",投資信託!$B$2:$B$1031,"&lt;=2024/12/31",投資信託!$K$2:$K$1031,"&gt;=0")</f>
        <v>0</v>
      </c>
      <c r="P8" s="19">
        <f>SUMIFS(投資信託!$K$2:$K$1031,投資信託!$B$2:$B$1031,"&gt;=2024/1/1",投資信託!$B$2:$B$1031,"&lt;=2024/12/31",投資信託!$K$2:$K$1031,"&lt;0")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SUMIFS(投資信託!$K$2:$K$1031,投資信託!$B$2:$B$1031,"&gt;=2025/1/1",投資信託!$B$2:$B$1031,"&lt;=2025/12/31",投資信託!$K$2:$K$1031,"&gt;=0")</f>
        <v>185421</v>
      </c>
      <c r="P9" s="19">
        <f>SUMIFS(投資信託!$K$2:$K$1031,投資信託!$B$2:$B$1031,"&gt;=2025/1/1",投資信託!$B$2:$B$1031,"&lt;=2025/12/31",投資信託!$K$2:$K$1031,"&lt;0")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8600</v>
      </c>
      <c r="E10" s="35">
        <f t="shared" si="7"/>
        <v>8600</v>
      </c>
      <c r="F10" s="19">
        <f>SUMIFS(国内株式_特定!$N$2:$N$998,国内株式_特定!$B$2:$B$998,"&gt;=2026/1/1",国内株式_特定!$B$2:$B$998,"&lt;=2026/12/31",国内株式_特定!$N$2:$N$998,"&gt;=0")</f>
        <v>2992830</v>
      </c>
      <c r="G10" s="19">
        <f>SUMIFS(国内株式_特定!$N$2:$N$998,国内株式_特定!$B$2:$B$998,"&gt;=2026/1/1",国内株式_特定!$B$2:$B$998,"&lt;=2026/12/31",国内株式_特定!$N$2:$N$998,"&lt;0")</f>
        <v>-733480</v>
      </c>
      <c r="H10" s="19">
        <f>SUMIFS(国内株式_特定_配当!$H$2:$H$999,国内株式_特定_配当!$A$2:$A$999,"&gt;=2026/1/1",国内株式_特定_配当!$A$2:$A$999,"&lt;=2026/12/31")</f>
        <v>33885</v>
      </c>
      <c r="I10" s="35">
        <f t="shared" si="11"/>
        <v>2293235</v>
      </c>
      <c r="J10" s="36">
        <f t="shared" si="1"/>
        <v>1827364.30975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SUMIFS(投資信託!$K$2:$K$1031,投資信託!$B$2:$B$1031,"&gt;=2026/1/1",投資信託!$B$2:$B$1031,"&lt;=2026/12/31",投資信託!$K$2:$K$1031,"&gt;=0")</f>
        <v>0</v>
      </c>
      <c r="P10" s="19">
        <f>SUMIFS(投資信託!$K$2:$K$1031,投資信託!$B$2:$B$1031,"&gt;=2026/1/1",投資信託!$B$2:$B$1031,"&lt;=2026/12/31",投資信託!$K$2:$K$1031,"&lt;0")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2043217.0262500001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9" t="s">
        <v>417</v>
      </c>
      <c r="C1" s="59"/>
      <c r="D1" s="59"/>
      <c r="E1" s="59"/>
      <c r="F1" s="59" t="s">
        <v>416</v>
      </c>
      <c r="G1" s="59"/>
      <c r="H1" s="59"/>
      <c r="I1" s="59"/>
      <c r="J1" s="59"/>
      <c r="K1" s="69" t="s">
        <v>219</v>
      </c>
      <c r="L1" s="69"/>
    </row>
    <row r="2" spans="1:12" x14ac:dyDescent="0.45">
      <c r="B2" s="55" t="s">
        <v>212</v>
      </c>
      <c r="C2" s="55"/>
      <c r="D2" s="68" t="s">
        <v>418</v>
      </c>
      <c r="E2" s="57" t="s">
        <v>214</v>
      </c>
      <c r="F2" s="55" t="s">
        <v>212</v>
      </c>
      <c r="G2" s="55"/>
      <c r="H2" s="68" t="s">
        <v>418</v>
      </c>
      <c r="I2" s="57" t="s">
        <v>214</v>
      </c>
      <c r="J2" s="62" t="s">
        <v>217</v>
      </c>
      <c r="K2" s="61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6"/>
      <c r="I3" s="57"/>
      <c r="J3" s="57"/>
      <c r="K3" s="61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C62" sqref="C62:D62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1"/>
  <sheetViews>
    <sheetView zoomScale="80" zoomScaleNormal="80" workbookViewId="0">
      <pane ySplit="1" topLeftCell="A38" activePane="bottomLeft" state="frozen"/>
      <selection pane="bottomLeft" activeCell="E48" sqref="E48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  <row r="60" spans="1:11" x14ac:dyDescent="0.45">
      <c r="A60" s="4">
        <v>46111</v>
      </c>
      <c r="B60" s="5" t="s">
        <v>50</v>
      </c>
      <c r="C60" s="5" t="s">
        <v>257</v>
      </c>
      <c r="D60" s="5">
        <v>7984</v>
      </c>
      <c r="E60" s="6" t="s">
        <v>259</v>
      </c>
      <c r="F60" s="9">
        <v>13</v>
      </c>
      <c r="G60" s="5">
        <v>400</v>
      </c>
      <c r="H60" s="19">
        <f t="shared" ref="H60:H61" si="10">F60*G60</f>
        <v>5200</v>
      </c>
      <c r="I60" s="19">
        <v>0</v>
      </c>
      <c r="J60" s="19">
        <f t="shared" ref="J60:J61" si="11">H60-I60</f>
        <v>5200</v>
      </c>
      <c r="K60" s="19">
        <f t="shared" ref="K60:K61" si="12">J60</f>
        <v>5200</v>
      </c>
    </row>
    <row r="61" spans="1:11" x14ac:dyDescent="0.45">
      <c r="A61" s="4">
        <v>46150</v>
      </c>
      <c r="B61" s="5" t="s">
        <v>50</v>
      </c>
      <c r="C61" s="5" t="s">
        <v>257</v>
      </c>
      <c r="D61" s="5">
        <v>6506</v>
      </c>
      <c r="E61" s="9" t="s">
        <v>406</v>
      </c>
      <c r="F61" s="9">
        <v>34</v>
      </c>
      <c r="G61" s="5">
        <v>100</v>
      </c>
      <c r="H61" s="19">
        <f t="shared" si="10"/>
        <v>3400</v>
      </c>
      <c r="I61" s="19">
        <v>0</v>
      </c>
      <c r="J61" s="19">
        <f t="shared" si="11"/>
        <v>3400</v>
      </c>
      <c r="K61" s="19">
        <f t="shared" si="12"/>
        <v>3400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945"/>
  <sheetViews>
    <sheetView zoomScale="80" zoomScaleNormal="80" workbookViewId="0">
      <pane xSplit="4" ySplit="1" topLeftCell="E927" activePane="bottomRight" state="frozen"/>
      <selection pane="topRight" activeCell="E1" sqref="E1"/>
      <selection pane="bottomLeft" activeCell="A2" sqref="A2"/>
      <selection pane="bottomRight" activeCell="J948" sqref="J948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37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  <row r="924" spans="1:14" x14ac:dyDescent="0.45">
      <c r="A924" s="4">
        <v>46149</v>
      </c>
      <c r="B924" s="4">
        <v>46153</v>
      </c>
      <c r="C924" s="5">
        <v>5803</v>
      </c>
      <c r="D924" s="9" t="s">
        <v>400</v>
      </c>
      <c r="E924" s="5" t="s">
        <v>67</v>
      </c>
      <c r="F924" s="5" t="s">
        <v>29</v>
      </c>
      <c r="G924" s="5" t="s">
        <v>41</v>
      </c>
      <c r="H924" s="5">
        <v>200</v>
      </c>
      <c r="I924" s="7">
        <v>6325</v>
      </c>
      <c r="J924" s="9">
        <v>0</v>
      </c>
      <c r="K924" s="9">
        <v>0</v>
      </c>
      <c r="L924" s="9" t="s">
        <v>90</v>
      </c>
      <c r="M924" s="15">
        <f t="shared" si="20"/>
        <v>1265000</v>
      </c>
      <c r="N924" s="19">
        <v>24000</v>
      </c>
    </row>
    <row r="925" spans="1:14" x14ac:dyDescent="0.45">
      <c r="A925" s="4">
        <v>46149</v>
      </c>
      <c r="B925" s="4">
        <v>46153</v>
      </c>
      <c r="C925" s="5">
        <v>6503</v>
      </c>
      <c r="D925" s="9" t="s">
        <v>462</v>
      </c>
      <c r="E925" s="5" t="s">
        <v>67</v>
      </c>
      <c r="F925" s="5" t="s">
        <v>29</v>
      </c>
      <c r="G925" s="5" t="s">
        <v>41</v>
      </c>
      <c r="H925" s="5">
        <v>100</v>
      </c>
      <c r="I925" s="7">
        <v>6480.3</v>
      </c>
      <c r="J925" s="9">
        <v>0</v>
      </c>
      <c r="K925" s="9">
        <v>0</v>
      </c>
      <c r="L925" s="9" t="s">
        <v>90</v>
      </c>
      <c r="M925" s="15">
        <f t="shared" si="20"/>
        <v>648030</v>
      </c>
      <c r="N925" s="19">
        <v>3930</v>
      </c>
    </row>
    <row r="926" spans="1:14" x14ac:dyDescent="0.45">
      <c r="A926" s="4">
        <v>46149</v>
      </c>
      <c r="B926" s="4">
        <v>46153</v>
      </c>
      <c r="C926" s="5">
        <v>6857</v>
      </c>
      <c r="D926" s="9" t="s">
        <v>458</v>
      </c>
      <c r="E926" s="5" t="s">
        <v>67</v>
      </c>
      <c r="F926" s="5" t="s">
        <v>29</v>
      </c>
      <c r="G926" s="5" t="s">
        <v>41</v>
      </c>
      <c r="H926" s="5">
        <v>100</v>
      </c>
      <c r="I926" s="7">
        <v>30000</v>
      </c>
      <c r="J926" s="9">
        <v>0</v>
      </c>
      <c r="K926" s="9">
        <v>0</v>
      </c>
      <c r="L926" s="9" t="s">
        <v>90</v>
      </c>
      <c r="M926" s="15">
        <f t="shared" si="20"/>
        <v>3000000</v>
      </c>
      <c r="N926" s="19">
        <v>76400</v>
      </c>
    </row>
    <row r="927" spans="1:14" x14ac:dyDescent="0.45">
      <c r="A927" s="4">
        <v>46149</v>
      </c>
      <c r="B927" s="4">
        <v>46153</v>
      </c>
      <c r="C927" s="5">
        <v>6954</v>
      </c>
      <c r="D927" s="9" t="s">
        <v>431</v>
      </c>
      <c r="E927" s="5" t="s">
        <v>67</v>
      </c>
      <c r="F927" s="5" t="s">
        <v>29</v>
      </c>
      <c r="G927" s="5" t="s">
        <v>41</v>
      </c>
      <c r="H927" s="5">
        <v>100</v>
      </c>
      <c r="I927" s="7">
        <v>7133</v>
      </c>
      <c r="J927" s="9">
        <v>0</v>
      </c>
      <c r="K927" s="9">
        <v>0</v>
      </c>
      <c r="L927" s="9" t="s">
        <v>90</v>
      </c>
      <c r="M927" s="15">
        <f t="shared" si="20"/>
        <v>713300</v>
      </c>
      <c r="N927" s="19">
        <v>59900</v>
      </c>
    </row>
    <row r="928" spans="1:14" x14ac:dyDescent="0.45">
      <c r="A928" s="4">
        <v>46149</v>
      </c>
      <c r="B928" s="4">
        <v>46153</v>
      </c>
      <c r="C928" s="5">
        <v>6965</v>
      </c>
      <c r="D928" s="9" t="s">
        <v>411</v>
      </c>
      <c r="E928" s="5" t="s">
        <v>67</v>
      </c>
      <c r="F928" s="5" t="s">
        <v>29</v>
      </c>
      <c r="G928" s="5" t="s">
        <v>41</v>
      </c>
      <c r="H928" s="5">
        <v>100</v>
      </c>
      <c r="I928" s="7">
        <v>2113</v>
      </c>
      <c r="J928" s="9">
        <v>0</v>
      </c>
      <c r="K928" s="9">
        <v>0</v>
      </c>
      <c r="L928" s="9" t="s">
        <v>90</v>
      </c>
      <c r="M928" s="15">
        <f t="shared" si="20"/>
        <v>211300</v>
      </c>
      <c r="N928" s="19">
        <v>300</v>
      </c>
    </row>
    <row r="929" spans="1:14" x14ac:dyDescent="0.45">
      <c r="A929" s="4">
        <v>46149</v>
      </c>
      <c r="B929" s="4">
        <v>46153</v>
      </c>
      <c r="C929" s="5">
        <v>8316</v>
      </c>
      <c r="D929" s="9" t="s">
        <v>401</v>
      </c>
      <c r="E929" s="5" t="s">
        <v>67</v>
      </c>
      <c r="F929" s="5" t="s">
        <v>29</v>
      </c>
      <c r="G929" s="5" t="s">
        <v>41</v>
      </c>
      <c r="H929" s="5">
        <v>100</v>
      </c>
      <c r="I929" s="7">
        <v>5654</v>
      </c>
      <c r="J929" s="9">
        <v>0</v>
      </c>
      <c r="K929" s="9">
        <v>0</v>
      </c>
      <c r="L929" s="9" t="s">
        <v>90</v>
      </c>
      <c r="M929" s="15">
        <f t="shared" si="20"/>
        <v>565400</v>
      </c>
      <c r="N929" s="19">
        <v>100</v>
      </c>
    </row>
    <row r="930" spans="1:14" x14ac:dyDescent="0.45">
      <c r="A930" s="4">
        <v>46149</v>
      </c>
      <c r="B930" s="4">
        <v>46153</v>
      </c>
      <c r="C930" s="5">
        <v>8766</v>
      </c>
      <c r="D930" s="9" t="s">
        <v>44</v>
      </c>
      <c r="E930" s="5" t="s">
        <v>67</v>
      </c>
      <c r="F930" s="5" t="s">
        <v>29</v>
      </c>
      <c r="G930" s="5" t="s">
        <v>41</v>
      </c>
      <c r="H930" s="5">
        <v>100</v>
      </c>
      <c r="I930" s="7">
        <v>7248</v>
      </c>
      <c r="J930" s="9">
        <v>0</v>
      </c>
      <c r="K930" s="9">
        <v>0</v>
      </c>
      <c r="L930" s="9" t="s">
        <v>90</v>
      </c>
      <c r="M930" s="15">
        <f t="shared" si="20"/>
        <v>724800</v>
      </c>
      <c r="N930" s="19">
        <v>0</v>
      </c>
    </row>
    <row r="931" spans="1:14" x14ac:dyDescent="0.45">
      <c r="A931" s="4">
        <v>46150</v>
      </c>
      <c r="B931" s="4">
        <v>46154</v>
      </c>
      <c r="C931" s="5">
        <v>6098</v>
      </c>
      <c r="D931" s="9" t="s">
        <v>456</v>
      </c>
      <c r="E931" s="5" t="s">
        <v>67</v>
      </c>
      <c r="F931" s="5" t="s">
        <v>29</v>
      </c>
      <c r="G931" s="5" t="s">
        <v>41</v>
      </c>
      <c r="H931" s="5">
        <v>100</v>
      </c>
      <c r="I931" s="7">
        <v>7832</v>
      </c>
      <c r="J931" s="9">
        <v>0</v>
      </c>
      <c r="K931" s="9">
        <v>0</v>
      </c>
      <c r="L931" s="9" t="s">
        <v>90</v>
      </c>
      <c r="M931" s="15">
        <f t="shared" si="20"/>
        <v>783200</v>
      </c>
      <c r="N931" s="19">
        <v>1000</v>
      </c>
    </row>
    <row r="932" spans="1:14" x14ac:dyDescent="0.45">
      <c r="A932" s="4">
        <v>46154</v>
      </c>
      <c r="B932" s="4">
        <v>46156</v>
      </c>
      <c r="C932" s="5" t="s">
        <v>424</v>
      </c>
      <c r="D932" s="9" t="s">
        <v>425</v>
      </c>
      <c r="E932" s="5" t="s">
        <v>67</v>
      </c>
      <c r="F932" s="5" t="s">
        <v>29</v>
      </c>
      <c r="G932" s="5" t="s">
        <v>41</v>
      </c>
      <c r="H932" s="5">
        <v>200</v>
      </c>
      <c r="I932" s="7">
        <v>1749</v>
      </c>
      <c r="J932" s="9">
        <v>0</v>
      </c>
      <c r="K932" s="9">
        <v>0</v>
      </c>
      <c r="L932" s="9" t="s">
        <v>90</v>
      </c>
      <c r="M932" s="15">
        <f t="shared" si="20"/>
        <v>349800</v>
      </c>
      <c r="N932" s="19">
        <v>68700</v>
      </c>
    </row>
    <row r="933" spans="1:14" x14ac:dyDescent="0.45">
      <c r="A933" s="4">
        <v>46154</v>
      </c>
      <c r="B933" s="4">
        <v>46156</v>
      </c>
      <c r="C933" s="5">
        <v>6232</v>
      </c>
      <c r="D933" s="9" t="s">
        <v>452</v>
      </c>
      <c r="E933" s="5" t="s">
        <v>67</v>
      </c>
      <c r="F933" s="5" t="s">
        <v>29</v>
      </c>
      <c r="G933" s="5" t="s">
        <v>41</v>
      </c>
      <c r="H933" s="5">
        <v>100</v>
      </c>
      <c r="I933" s="7">
        <v>3250</v>
      </c>
      <c r="J933" s="9">
        <v>0</v>
      </c>
      <c r="K933" s="9">
        <v>0</v>
      </c>
      <c r="L933" s="9" t="s">
        <v>90</v>
      </c>
      <c r="M933" s="15">
        <f t="shared" si="20"/>
        <v>325000</v>
      </c>
      <c r="N933" s="19">
        <v>66500</v>
      </c>
    </row>
    <row r="934" spans="1:14" x14ac:dyDescent="0.45">
      <c r="A934" s="4">
        <v>46156</v>
      </c>
      <c r="B934" s="4">
        <v>46160</v>
      </c>
      <c r="C934" s="5">
        <v>5803</v>
      </c>
      <c r="D934" s="9" t="s">
        <v>400</v>
      </c>
      <c r="E934" s="5" t="s">
        <v>67</v>
      </c>
      <c r="F934" s="5" t="s">
        <v>29</v>
      </c>
      <c r="G934" s="5" t="s">
        <v>30</v>
      </c>
      <c r="H934" s="5">
        <v>100</v>
      </c>
      <c r="I934" s="7">
        <v>7855</v>
      </c>
      <c r="J934" s="9">
        <v>0</v>
      </c>
      <c r="K934" s="9">
        <v>0</v>
      </c>
      <c r="L934" s="9" t="s">
        <v>463</v>
      </c>
      <c r="M934" s="15">
        <f t="shared" si="20"/>
        <v>785500</v>
      </c>
      <c r="N934" s="19">
        <v>0</v>
      </c>
    </row>
    <row r="935" spans="1:14" x14ac:dyDescent="0.45">
      <c r="A935" s="4">
        <v>46156</v>
      </c>
      <c r="B935" s="4">
        <v>46160</v>
      </c>
      <c r="C935" s="5">
        <v>6324</v>
      </c>
      <c r="D935" s="9" t="s">
        <v>454</v>
      </c>
      <c r="E935" s="5" t="s">
        <v>67</v>
      </c>
      <c r="F935" s="5" t="s">
        <v>29</v>
      </c>
      <c r="G935" s="5" t="s">
        <v>30</v>
      </c>
      <c r="H935" s="5">
        <v>100</v>
      </c>
      <c r="I935" s="7">
        <v>6770</v>
      </c>
      <c r="J935" s="9">
        <v>0</v>
      </c>
      <c r="K935" s="9">
        <v>0</v>
      </c>
      <c r="L935" s="9" t="s">
        <v>463</v>
      </c>
      <c r="M935" s="15">
        <f t="shared" si="20"/>
        <v>677000</v>
      </c>
      <c r="N935" s="19">
        <v>0</v>
      </c>
    </row>
    <row r="936" spans="1:14" x14ac:dyDescent="0.45">
      <c r="A936" s="4">
        <v>46157</v>
      </c>
      <c r="B936" s="4">
        <v>46161</v>
      </c>
      <c r="C936" s="5">
        <v>6324</v>
      </c>
      <c r="D936" s="9" t="s">
        <v>454</v>
      </c>
      <c r="E936" s="5" t="s">
        <v>67</v>
      </c>
      <c r="F936" s="5" t="s">
        <v>29</v>
      </c>
      <c r="G936" s="5" t="s">
        <v>30</v>
      </c>
      <c r="H936" s="5">
        <v>100</v>
      </c>
      <c r="I936" s="7">
        <v>6950</v>
      </c>
      <c r="J936" s="9">
        <v>0</v>
      </c>
      <c r="K936" s="9">
        <v>0</v>
      </c>
      <c r="L936" s="9" t="s">
        <v>90</v>
      </c>
      <c r="M936" s="15">
        <f t="shared" si="20"/>
        <v>695000</v>
      </c>
      <c r="N936" s="19">
        <v>18000</v>
      </c>
    </row>
    <row r="937" spans="1:14" x14ac:dyDescent="0.45">
      <c r="A937" s="4">
        <v>46164</v>
      </c>
      <c r="B937" s="4">
        <v>46168</v>
      </c>
      <c r="C937" s="5" t="s">
        <v>424</v>
      </c>
      <c r="D937" s="9" t="s">
        <v>425</v>
      </c>
      <c r="E937" s="5" t="s">
        <v>67</v>
      </c>
      <c r="F937" s="5" t="s">
        <v>29</v>
      </c>
      <c r="G937" s="5" t="s">
        <v>30</v>
      </c>
      <c r="H937" s="5">
        <v>100</v>
      </c>
      <c r="I937" s="7">
        <v>2352</v>
      </c>
      <c r="J937" s="9">
        <v>0</v>
      </c>
      <c r="K937" s="9">
        <v>0</v>
      </c>
      <c r="L937" s="9" t="s">
        <v>31</v>
      </c>
      <c r="M937" s="15">
        <f t="shared" si="20"/>
        <v>235200</v>
      </c>
      <c r="N937" s="19">
        <v>0</v>
      </c>
    </row>
    <row r="938" spans="1:14" x14ac:dyDescent="0.45">
      <c r="A938" s="4">
        <v>46164</v>
      </c>
      <c r="B938" s="4">
        <v>46168</v>
      </c>
      <c r="C938" s="5">
        <v>2802</v>
      </c>
      <c r="D938" s="9" t="s">
        <v>399</v>
      </c>
      <c r="E938" s="5" t="s">
        <v>67</v>
      </c>
      <c r="F938" s="5" t="s">
        <v>29</v>
      </c>
      <c r="G938" s="5" t="s">
        <v>30</v>
      </c>
      <c r="H938" s="5">
        <v>100</v>
      </c>
      <c r="I938" s="7">
        <v>5269</v>
      </c>
      <c r="J938" s="9">
        <v>0</v>
      </c>
      <c r="K938" s="9">
        <v>0</v>
      </c>
      <c r="L938" s="9" t="s">
        <v>31</v>
      </c>
      <c r="M938" s="15">
        <f t="shared" ref="M938:M945" si="21">IF(G938="買付",H938*I938+SUM(J938:K938),H938*I938-SUM(J938:K938))</f>
        <v>526900</v>
      </c>
      <c r="N938" s="19">
        <v>0</v>
      </c>
    </row>
    <row r="939" spans="1:14" x14ac:dyDescent="0.45">
      <c r="A939" s="4">
        <v>46164</v>
      </c>
      <c r="B939" s="4">
        <v>46168</v>
      </c>
      <c r="C939" s="5" t="s">
        <v>446</v>
      </c>
      <c r="D939" s="9" t="s">
        <v>447</v>
      </c>
      <c r="E939" s="5" t="s">
        <v>67</v>
      </c>
      <c r="F939" s="5" t="s">
        <v>29</v>
      </c>
      <c r="G939" s="5" t="s">
        <v>30</v>
      </c>
      <c r="H939" s="5">
        <v>100</v>
      </c>
      <c r="I939" s="7">
        <v>57120</v>
      </c>
      <c r="J939" s="9">
        <v>0</v>
      </c>
      <c r="K939" s="9">
        <v>0</v>
      </c>
      <c r="L939" s="9" t="s">
        <v>31</v>
      </c>
      <c r="M939" s="15">
        <f t="shared" si="21"/>
        <v>5712000</v>
      </c>
      <c r="N939" s="19">
        <v>0</v>
      </c>
    </row>
    <row r="940" spans="1:14" x14ac:dyDescent="0.45">
      <c r="A940" s="4">
        <v>46164</v>
      </c>
      <c r="B940" s="4">
        <v>46168</v>
      </c>
      <c r="C940" s="5">
        <v>3563</v>
      </c>
      <c r="D940" s="9" t="s">
        <v>370</v>
      </c>
      <c r="E940" s="5" t="s">
        <v>67</v>
      </c>
      <c r="F940" s="5" t="s">
        <v>29</v>
      </c>
      <c r="G940" s="5" t="s">
        <v>30</v>
      </c>
      <c r="H940" s="5">
        <v>100</v>
      </c>
      <c r="I940" s="7">
        <v>10850</v>
      </c>
      <c r="J940" s="9">
        <v>0</v>
      </c>
      <c r="K940" s="9">
        <v>0</v>
      </c>
      <c r="L940" s="9" t="s">
        <v>31</v>
      </c>
      <c r="M940" s="15">
        <f t="shared" si="21"/>
        <v>1085000</v>
      </c>
      <c r="N940" s="19">
        <v>0</v>
      </c>
    </row>
    <row r="941" spans="1:14" x14ac:dyDescent="0.45">
      <c r="A941" s="4">
        <v>46164</v>
      </c>
      <c r="B941" s="4">
        <v>46168</v>
      </c>
      <c r="C941" s="5">
        <v>4063</v>
      </c>
      <c r="D941" s="9" t="s">
        <v>100</v>
      </c>
      <c r="E941" s="5" t="s">
        <v>67</v>
      </c>
      <c r="F941" s="5" t="s">
        <v>29</v>
      </c>
      <c r="G941" s="5" t="s">
        <v>30</v>
      </c>
      <c r="H941" s="5">
        <v>100</v>
      </c>
      <c r="I941" s="7">
        <v>7010</v>
      </c>
      <c r="J941" s="9">
        <v>0</v>
      </c>
      <c r="K941" s="9">
        <v>0</v>
      </c>
      <c r="L941" s="9" t="s">
        <v>31</v>
      </c>
      <c r="M941" s="15">
        <f t="shared" si="21"/>
        <v>701000</v>
      </c>
      <c r="N941" s="19">
        <v>0</v>
      </c>
    </row>
    <row r="942" spans="1:14" x14ac:dyDescent="0.45">
      <c r="A942" s="4">
        <v>46164</v>
      </c>
      <c r="B942" s="4">
        <v>46168</v>
      </c>
      <c r="C942" s="5">
        <v>6098</v>
      </c>
      <c r="D942" s="9" t="s">
        <v>456</v>
      </c>
      <c r="E942" s="5" t="s">
        <v>67</v>
      </c>
      <c r="F942" s="5" t="s">
        <v>29</v>
      </c>
      <c r="G942" s="5" t="s">
        <v>30</v>
      </c>
      <c r="H942" s="5">
        <v>100</v>
      </c>
      <c r="I942" s="7">
        <v>9765</v>
      </c>
      <c r="J942" s="9">
        <v>0</v>
      </c>
      <c r="K942" s="9">
        <v>0</v>
      </c>
      <c r="L942" s="9" t="s">
        <v>31</v>
      </c>
      <c r="M942" s="15">
        <f t="shared" si="21"/>
        <v>976500</v>
      </c>
      <c r="N942" s="19">
        <v>0</v>
      </c>
    </row>
    <row r="943" spans="1:14" x14ac:dyDescent="0.45">
      <c r="A943" s="4">
        <v>46164</v>
      </c>
      <c r="B943" s="4">
        <v>46168</v>
      </c>
      <c r="C943" s="5">
        <v>6857</v>
      </c>
      <c r="D943" s="9" t="s">
        <v>458</v>
      </c>
      <c r="E943" s="5" t="s">
        <v>67</v>
      </c>
      <c r="F943" s="5" t="s">
        <v>29</v>
      </c>
      <c r="G943" s="5" t="s">
        <v>30</v>
      </c>
      <c r="H943" s="5">
        <v>100</v>
      </c>
      <c r="I943" s="7">
        <v>26985</v>
      </c>
      <c r="J943" s="9">
        <v>0</v>
      </c>
      <c r="K943" s="9">
        <v>0</v>
      </c>
      <c r="L943" s="9" t="s">
        <v>31</v>
      </c>
      <c r="M943" s="15">
        <f t="shared" si="21"/>
        <v>2698500</v>
      </c>
      <c r="N943" s="19">
        <v>0</v>
      </c>
    </row>
    <row r="944" spans="1:14" x14ac:dyDescent="0.45">
      <c r="A944" s="4">
        <v>46167</v>
      </c>
      <c r="B944" s="4">
        <v>46169</v>
      </c>
      <c r="C944" s="5" t="s">
        <v>424</v>
      </c>
      <c r="D944" s="9" t="s">
        <v>425</v>
      </c>
      <c r="E944" s="5" t="s">
        <v>67</v>
      </c>
      <c r="F944" s="5" t="s">
        <v>29</v>
      </c>
      <c r="G944" s="5" t="s">
        <v>41</v>
      </c>
      <c r="H944" s="5">
        <v>100</v>
      </c>
      <c r="I944" s="7">
        <v>2792</v>
      </c>
      <c r="J944" s="9">
        <v>0</v>
      </c>
      <c r="K944" s="9">
        <v>0</v>
      </c>
      <c r="L944" s="9" t="s">
        <v>90</v>
      </c>
      <c r="M944" s="15">
        <f t="shared" si="21"/>
        <v>279200</v>
      </c>
      <c r="N944" s="19">
        <v>44000</v>
      </c>
    </row>
    <row r="945" spans="1:14" x14ac:dyDescent="0.45">
      <c r="A945" s="4">
        <v>46167</v>
      </c>
      <c r="B945" s="4">
        <v>46169</v>
      </c>
      <c r="C945" s="5">
        <v>6367</v>
      </c>
      <c r="D945" s="9" t="s">
        <v>464</v>
      </c>
      <c r="E945" s="5" t="s">
        <v>67</v>
      </c>
      <c r="F945" s="5" t="s">
        <v>29</v>
      </c>
      <c r="G945" s="5" t="s">
        <v>30</v>
      </c>
      <c r="H945" s="5">
        <v>100</v>
      </c>
      <c r="I945" s="7">
        <v>24400</v>
      </c>
      <c r="J945" s="9">
        <v>0</v>
      </c>
      <c r="K945" s="9">
        <v>0</v>
      </c>
      <c r="L945" s="9" t="s">
        <v>31</v>
      </c>
      <c r="M945" s="15">
        <f t="shared" si="21"/>
        <v>2440000</v>
      </c>
      <c r="N945" s="19">
        <v>0</v>
      </c>
    </row>
  </sheetData>
  <autoFilter ref="A1:N852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91"/>
  <sheetViews>
    <sheetView zoomScale="90" zoomScaleNormal="90" workbookViewId="0">
      <pane ySplit="1" topLeftCell="A81" activePane="bottomLeft" state="frozen"/>
      <selection activeCell="F1" sqref="F1"/>
      <selection pane="bottomLeft" activeCell="B84" sqref="B84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1" si="16">H80-I80</f>
        <v>4782</v>
      </c>
      <c r="K80" s="19">
        <f t="shared" ref="K80:K91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91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  <row r="91" spans="1:11" x14ac:dyDescent="0.45">
      <c r="A91" s="4">
        <v>46171</v>
      </c>
      <c r="B91" s="5" t="s">
        <v>50</v>
      </c>
      <c r="C91" s="5" t="s">
        <v>68</v>
      </c>
      <c r="D91" s="5">
        <v>9602</v>
      </c>
      <c r="E91" s="9" t="s">
        <v>198</v>
      </c>
      <c r="F91" s="72">
        <v>67.5</v>
      </c>
      <c r="G91" s="5">
        <v>100</v>
      </c>
      <c r="H91" s="19">
        <f t="shared" si="18"/>
        <v>6750</v>
      </c>
      <c r="I91" s="19">
        <v>1370</v>
      </c>
      <c r="J91" s="19">
        <f t="shared" si="16"/>
        <v>5380</v>
      </c>
      <c r="K91" s="19">
        <f t="shared" si="17"/>
        <v>5380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3"/>
  <sheetViews>
    <sheetView zoomScale="90" zoomScaleNormal="90" workbookViewId="0">
      <pane xSplit="3" ySplit="1" topLeftCell="D26" activePane="bottomRight" state="frozen"/>
      <selection pane="topRight" activeCell="D1" sqref="D1"/>
      <selection pane="bottomLeft" activeCell="A2" sqref="A2"/>
      <selection pane="bottomRight" activeCell="I40" sqref="I4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46155</v>
      </c>
      <c r="B28" s="4">
        <v>46161</v>
      </c>
      <c r="C28" s="9" t="s">
        <v>282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8199</v>
      </c>
      <c r="I28" s="21">
        <v>36592</v>
      </c>
      <c r="J28" s="21">
        <v>30000</v>
      </c>
      <c r="K28" s="21">
        <v>0</v>
      </c>
    </row>
    <row r="29" spans="1:11" x14ac:dyDescent="0.45">
      <c r="A29" s="4">
        <v>46128</v>
      </c>
      <c r="B29" s="4">
        <v>45950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40242</v>
      </c>
      <c r="I29" s="21">
        <v>17395</v>
      </c>
      <c r="J29" s="21">
        <v>70000</v>
      </c>
      <c r="K29" s="21">
        <v>0</v>
      </c>
    </row>
    <row r="30" spans="1:11" x14ac:dyDescent="0.45">
      <c r="A30" s="4">
        <v>45974</v>
      </c>
      <c r="B30" s="4">
        <v>45979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38038</v>
      </c>
      <c r="I30" s="21">
        <v>18403</v>
      </c>
      <c r="J30" s="21">
        <v>70000</v>
      </c>
      <c r="K30" s="21">
        <v>0</v>
      </c>
    </row>
    <row r="31" spans="1:11" x14ac:dyDescent="0.45">
      <c r="A31" s="4">
        <v>46006</v>
      </c>
      <c r="B31" s="4">
        <v>46009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37910</v>
      </c>
      <c r="I31" s="21">
        <v>18465</v>
      </c>
      <c r="J31" s="21">
        <v>70000</v>
      </c>
      <c r="K31" s="21">
        <v>0</v>
      </c>
    </row>
    <row r="32" spans="1:11" x14ac:dyDescent="0.45">
      <c r="A32" s="4">
        <v>46036</v>
      </c>
      <c r="B32" s="4">
        <v>46041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35338</v>
      </c>
      <c r="I32" s="21">
        <v>19809</v>
      </c>
      <c r="J32" s="21">
        <v>70000</v>
      </c>
      <c r="K32" s="21">
        <v>0</v>
      </c>
    </row>
    <row r="33" spans="1:11" x14ac:dyDescent="0.45">
      <c r="A33" s="4">
        <v>46066</v>
      </c>
      <c r="B33" s="4">
        <v>46071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34978</v>
      </c>
      <c r="I33" s="21">
        <v>20013</v>
      </c>
      <c r="J33" s="21">
        <v>70000</v>
      </c>
      <c r="K33" s="21">
        <v>0</v>
      </c>
    </row>
    <row r="34" spans="1:11" x14ac:dyDescent="0.45">
      <c r="A34" s="4">
        <v>46094</v>
      </c>
      <c r="B34" s="4">
        <v>46099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35624</v>
      </c>
      <c r="I34" s="21">
        <v>19650</v>
      </c>
      <c r="J34" s="21">
        <v>70000</v>
      </c>
      <c r="K34" s="21">
        <v>0</v>
      </c>
    </row>
    <row r="35" spans="1:11" x14ac:dyDescent="0.45">
      <c r="A35" s="4">
        <v>46126</v>
      </c>
      <c r="B35" s="4">
        <v>46129</v>
      </c>
      <c r="C35" s="9" t="s">
        <v>377</v>
      </c>
      <c r="D35" s="5" t="s">
        <v>159</v>
      </c>
      <c r="E35" s="5" t="s">
        <v>283</v>
      </c>
      <c r="F35" s="5" t="s">
        <v>30</v>
      </c>
      <c r="G35" s="5" t="s">
        <v>284</v>
      </c>
      <c r="H35" s="21">
        <v>33669</v>
      </c>
      <c r="I35" s="21">
        <v>20791</v>
      </c>
      <c r="J35" s="21">
        <v>70000</v>
      </c>
      <c r="K35" s="21">
        <v>0</v>
      </c>
    </row>
    <row r="36" spans="1:11" x14ac:dyDescent="0.45">
      <c r="A36" s="4">
        <v>46155</v>
      </c>
      <c r="B36" s="4">
        <v>46160</v>
      </c>
      <c r="C36" s="9" t="s">
        <v>377</v>
      </c>
      <c r="D36" s="5" t="s">
        <v>159</v>
      </c>
      <c r="E36" s="5" t="s">
        <v>283</v>
      </c>
      <c r="F36" s="5" t="s">
        <v>30</v>
      </c>
      <c r="G36" s="5" t="s">
        <v>284</v>
      </c>
      <c r="H36" s="21">
        <v>32999</v>
      </c>
      <c r="I36" s="21">
        <v>21213</v>
      </c>
      <c r="J36" s="21">
        <v>70000</v>
      </c>
      <c r="K36" s="21">
        <v>0</v>
      </c>
    </row>
    <row r="37" spans="1:11" x14ac:dyDescent="0.45">
      <c r="A37" s="4">
        <v>44368</v>
      </c>
      <c r="B37" s="4">
        <v>44371</v>
      </c>
      <c r="C37" s="9" t="s">
        <v>163</v>
      </c>
      <c r="D37" s="5" t="s">
        <v>159</v>
      </c>
      <c r="E37" s="5" t="s">
        <v>295</v>
      </c>
      <c r="F37" s="5" t="s">
        <v>30</v>
      </c>
      <c r="G37" s="5" t="s">
        <v>160</v>
      </c>
      <c r="H37" s="8">
        <v>21735</v>
      </c>
      <c r="I37" s="8">
        <v>13803</v>
      </c>
      <c r="J37" s="8">
        <v>30000</v>
      </c>
      <c r="K37" s="21">
        <v>0</v>
      </c>
    </row>
    <row r="38" spans="1:11" x14ac:dyDescent="0.45">
      <c r="A38" s="4">
        <v>44377</v>
      </c>
      <c r="B38" s="4">
        <v>44382</v>
      </c>
      <c r="C38" s="9" t="s">
        <v>163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7034</v>
      </c>
      <c r="I38" s="8">
        <v>14217</v>
      </c>
      <c r="J38" s="8">
        <v>10000</v>
      </c>
      <c r="K38" s="21">
        <v>0</v>
      </c>
    </row>
    <row r="39" spans="1:11" x14ac:dyDescent="0.45">
      <c r="A39" s="4">
        <v>44529</v>
      </c>
      <c r="B39" s="4">
        <v>44532</v>
      </c>
      <c r="C39" s="9" t="s">
        <v>163</v>
      </c>
      <c r="D39" s="5" t="s">
        <v>159</v>
      </c>
      <c r="E39" s="5" t="s">
        <v>295</v>
      </c>
      <c r="F39" s="5" t="s">
        <v>298</v>
      </c>
      <c r="G39" s="5"/>
      <c r="H39" s="8">
        <v>28769</v>
      </c>
      <c r="I39" s="8">
        <v>13383</v>
      </c>
      <c r="J39" s="8">
        <v>38502</v>
      </c>
      <c r="K39" s="19">
        <v>-1498</v>
      </c>
    </row>
    <row r="40" spans="1:11" x14ac:dyDescent="0.45">
      <c r="A40" s="4">
        <v>44403</v>
      </c>
      <c r="B40" s="4">
        <v>44406</v>
      </c>
      <c r="C40" s="9" t="s">
        <v>163</v>
      </c>
      <c r="D40" s="5" t="s">
        <v>159</v>
      </c>
      <c r="E40" s="5" t="s">
        <v>67</v>
      </c>
      <c r="F40" s="5" t="s">
        <v>30</v>
      </c>
      <c r="G40" s="5" t="s">
        <v>160</v>
      </c>
      <c r="H40" s="8">
        <v>7310</v>
      </c>
      <c r="I40" s="8">
        <v>13681</v>
      </c>
      <c r="J40" s="8">
        <v>10000</v>
      </c>
      <c r="K40" s="21">
        <v>0</v>
      </c>
    </row>
    <row r="41" spans="1:11" x14ac:dyDescent="0.45">
      <c r="A41" s="4">
        <v>44525</v>
      </c>
      <c r="B41" s="4">
        <v>44530</v>
      </c>
      <c r="C41" s="9" t="s">
        <v>163</v>
      </c>
      <c r="D41" s="5" t="s">
        <v>159</v>
      </c>
      <c r="E41" s="5" t="s">
        <v>67</v>
      </c>
      <c r="F41" s="5" t="s">
        <v>298</v>
      </c>
      <c r="G41" s="5"/>
      <c r="H41" s="8">
        <v>7310</v>
      </c>
      <c r="I41" s="8">
        <v>13973</v>
      </c>
      <c r="J41" s="8">
        <v>10214</v>
      </c>
      <c r="K41" s="19">
        <v>214</v>
      </c>
    </row>
    <row r="42" spans="1:11" x14ac:dyDescent="0.45">
      <c r="A42" s="4">
        <v>44165</v>
      </c>
      <c r="B42" s="4">
        <v>44168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3846</v>
      </c>
      <c r="I42" s="8">
        <v>13000</v>
      </c>
      <c r="J42" s="8">
        <v>5000</v>
      </c>
      <c r="K42" s="21">
        <v>0</v>
      </c>
    </row>
    <row r="43" spans="1:11" x14ac:dyDescent="0.45">
      <c r="A43" s="4">
        <v>44201</v>
      </c>
      <c r="B43" s="4">
        <v>44204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7604</v>
      </c>
      <c r="I43" s="8">
        <v>13152</v>
      </c>
      <c r="J43" s="8">
        <v>10000</v>
      </c>
      <c r="K43" s="21">
        <v>0</v>
      </c>
    </row>
    <row r="44" spans="1:11" x14ac:dyDescent="0.45">
      <c r="A44" s="4">
        <v>44236</v>
      </c>
      <c r="B44" s="4">
        <v>44242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7041</v>
      </c>
      <c r="I44" s="8">
        <v>14202</v>
      </c>
      <c r="J44" s="8">
        <v>10000</v>
      </c>
      <c r="K44" s="21">
        <v>0</v>
      </c>
    </row>
    <row r="45" spans="1:11" x14ac:dyDescent="0.45">
      <c r="A45" s="4">
        <v>44257</v>
      </c>
      <c r="B45" s="4">
        <v>44260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6947</v>
      </c>
      <c r="I45" s="8">
        <v>14394</v>
      </c>
      <c r="J45" s="8">
        <v>10000</v>
      </c>
      <c r="K45" s="21">
        <v>0</v>
      </c>
    </row>
    <row r="46" spans="1:11" x14ac:dyDescent="0.45">
      <c r="A46" s="4">
        <v>44295</v>
      </c>
      <c r="B46" s="4">
        <v>44300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6460</v>
      </c>
      <c r="I46" s="8">
        <v>15481</v>
      </c>
      <c r="J46" s="8">
        <v>10000</v>
      </c>
      <c r="K46" s="21">
        <v>0</v>
      </c>
    </row>
    <row r="47" spans="1:11" x14ac:dyDescent="0.45">
      <c r="A47" s="4">
        <v>44327</v>
      </c>
      <c r="B47" s="4">
        <v>44330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3167</v>
      </c>
      <c r="I47" s="8">
        <v>15789</v>
      </c>
      <c r="J47" s="8">
        <v>5000</v>
      </c>
      <c r="K47" s="21">
        <v>0</v>
      </c>
    </row>
    <row r="48" spans="1:11" x14ac:dyDescent="0.45">
      <c r="A48" s="4">
        <v>44350</v>
      </c>
      <c r="B48" s="4">
        <v>44355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6263</v>
      </c>
      <c r="I48" s="8">
        <v>15967</v>
      </c>
      <c r="J48" s="8">
        <v>10000</v>
      </c>
      <c r="K48" s="21">
        <v>0</v>
      </c>
    </row>
    <row r="49" spans="1:11" x14ac:dyDescent="0.45">
      <c r="A49" s="4">
        <v>44377</v>
      </c>
      <c r="B49" s="4">
        <v>44382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6081</v>
      </c>
      <c r="I49" s="8">
        <v>16444</v>
      </c>
      <c r="J49" s="8">
        <v>10000</v>
      </c>
      <c r="K49" s="21">
        <v>0</v>
      </c>
    </row>
    <row r="50" spans="1:11" x14ac:dyDescent="0.45">
      <c r="A50" s="4">
        <v>44921</v>
      </c>
      <c r="B50" s="4">
        <v>44924</v>
      </c>
      <c r="C50" s="9" t="s">
        <v>158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24940</v>
      </c>
      <c r="I50" s="8">
        <v>17961</v>
      </c>
      <c r="J50" s="8">
        <v>44794</v>
      </c>
      <c r="K50" s="21">
        <v>0</v>
      </c>
    </row>
    <row r="51" spans="1:11" x14ac:dyDescent="0.45">
      <c r="A51" s="4">
        <v>45243</v>
      </c>
      <c r="B51" s="4">
        <v>45246</v>
      </c>
      <c r="C51" s="9" t="s">
        <v>158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590</v>
      </c>
      <c r="I51" s="8">
        <v>23925</v>
      </c>
      <c r="J51" s="8">
        <v>1410</v>
      </c>
      <c r="K51" s="21">
        <v>0</v>
      </c>
    </row>
    <row r="52" spans="1:11" x14ac:dyDescent="0.45">
      <c r="A52" s="4">
        <v>45656</v>
      </c>
      <c r="B52" s="4">
        <v>45663</v>
      </c>
      <c r="C52" s="9" t="s">
        <v>158</v>
      </c>
      <c r="D52" s="5" t="s">
        <v>159</v>
      </c>
      <c r="E52" s="5" t="s">
        <v>295</v>
      </c>
      <c r="F52" s="5" t="s">
        <v>289</v>
      </c>
      <c r="G52" s="5"/>
      <c r="H52" s="21">
        <v>3846</v>
      </c>
      <c r="I52" s="9"/>
      <c r="J52" s="9">
        <v>0</v>
      </c>
      <c r="K52" s="21">
        <v>0</v>
      </c>
    </row>
    <row r="53" spans="1:11" x14ac:dyDescent="0.45">
      <c r="A53" s="4">
        <v>45772</v>
      </c>
      <c r="B53" s="4">
        <v>45778</v>
      </c>
      <c r="C53" s="9" t="s">
        <v>158</v>
      </c>
      <c r="D53" s="5" t="s">
        <v>159</v>
      </c>
      <c r="E53" s="5" t="s">
        <v>295</v>
      </c>
      <c r="F53" s="5" t="s">
        <v>298</v>
      </c>
      <c r="G53" s="5"/>
      <c r="H53" s="21">
        <v>69093</v>
      </c>
      <c r="I53" s="19">
        <v>28502</v>
      </c>
      <c r="J53" s="19">
        <v>196929</v>
      </c>
      <c r="K53" s="21">
        <v>86850</v>
      </c>
    </row>
    <row r="54" spans="1:11" x14ac:dyDescent="0.45">
      <c r="A54" s="4">
        <v>44404</v>
      </c>
      <c r="B54" s="4">
        <v>44407</v>
      </c>
      <c r="C54" s="9" t="s">
        <v>158</v>
      </c>
      <c r="D54" s="5" t="s">
        <v>159</v>
      </c>
      <c r="E54" s="5" t="s">
        <v>67</v>
      </c>
      <c r="F54" s="5" t="s">
        <v>30</v>
      </c>
      <c r="G54" s="5" t="s">
        <v>160</v>
      </c>
      <c r="H54" s="8">
        <v>11832</v>
      </c>
      <c r="I54" s="8">
        <v>16903</v>
      </c>
      <c r="J54" s="8">
        <v>20000</v>
      </c>
      <c r="K54" s="21">
        <v>0</v>
      </c>
    </row>
    <row r="55" spans="1:11" x14ac:dyDescent="0.45">
      <c r="A55" s="4">
        <v>44435</v>
      </c>
      <c r="B55" s="4">
        <v>44440</v>
      </c>
      <c r="C55" s="9" t="s">
        <v>158</v>
      </c>
      <c r="D55" s="5" t="s">
        <v>159</v>
      </c>
      <c r="E55" s="5" t="s">
        <v>67</v>
      </c>
      <c r="F55" s="5" t="s">
        <v>298</v>
      </c>
      <c r="G55" s="5"/>
      <c r="H55" s="8">
        <v>11832</v>
      </c>
      <c r="I55" s="8">
        <v>17067</v>
      </c>
      <c r="J55" s="8">
        <v>20194</v>
      </c>
      <c r="K55" s="19">
        <v>194</v>
      </c>
    </row>
    <row r="56" spans="1:11" x14ac:dyDescent="0.45">
      <c r="A56" s="4">
        <v>45656</v>
      </c>
      <c r="B56" s="4">
        <v>45663</v>
      </c>
      <c r="C56" s="9" t="s">
        <v>158</v>
      </c>
      <c r="D56" s="5" t="s">
        <v>159</v>
      </c>
      <c r="E56" s="5" t="s">
        <v>294</v>
      </c>
      <c r="F56" s="5" t="s">
        <v>296</v>
      </c>
      <c r="G56" s="5"/>
      <c r="H56" s="21">
        <v>3846</v>
      </c>
      <c r="I56" s="9"/>
      <c r="J56" s="9">
        <v>0</v>
      </c>
      <c r="K56" s="21">
        <v>0</v>
      </c>
    </row>
    <row r="57" spans="1:11" x14ac:dyDescent="0.45">
      <c r="A57" s="4">
        <v>45824</v>
      </c>
      <c r="B57" s="4">
        <v>45827</v>
      </c>
      <c r="C57" s="9" t="s">
        <v>158</v>
      </c>
      <c r="D57" s="5" t="s">
        <v>159</v>
      </c>
      <c r="E57" s="5" t="s">
        <v>68</v>
      </c>
      <c r="F57" s="5" t="s">
        <v>298</v>
      </c>
      <c r="G57" s="5"/>
      <c r="H57" s="21">
        <v>3846</v>
      </c>
      <c r="I57" s="19">
        <v>31398</v>
      </c>
      <c r="J57" s="19">
        <v>12076</v>
      </c>
      <c r="K57" s="21">
        <v>-1071</v>
      </c>
    </row>
    <row r="58" spans="1:11" x14ac:dyDescent="0.45">
      <c r="A58" s="4">
        <v>44188</v>
      </c>
      <c r="B58" s="4">
        <v>44193</v>
      </c>
      <c r="C58" s="9" t="s">
        <v>162</v>
      </c>
      <c r="D58" s="5" t="s">
        <v>159</v>
      </c>
      <c r="E58" s="5" t="s">
        <v>295</v>
      </c>
      <c r="F58" s="5" t="s">
        <v>30</v>
      </c>
      <c r="G58" s="5" t="s">
        <v>160</v>
      </c>
      <c r="H58" s="8">
        <v>4490</v>
      </c>
      <c r="I58" s="8">
        <v>22273</v>
      </c>
      <c r="J58" s="8">
        <v>10000</v>
      </c>
      <c r="K58" s="21">
        <v>0</v>
      </c>
    </row>
    <row r="59" spans="1:11" x14ac:dyDescent="0.45">
      <c r="A59" s="4">
        <v>44224</v>
      </c>
      <c r="B59" s="4">
        <v>44229</v>
      </c>
      <c r="C59" s="9" t="s">
        <v>162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2108</v>
      </c>
      <c r="I59" s="8">
        <v>23721</v>
      </c>
      <c r="J59" s="8">
        <v>5000</v>
      </c>
      <c r="K59" s="21">
        <v>0</v>
      </c>
    </row>
    <row r="60" spans="1:11" x14ac:dyDescent="0.45">
      <c r="A60" s="4">
        <v>44257</v>
      </c>
      <c r="B60" s="4">
        <v>44260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1938</v>
      </c>
      <c r="I60" s="8">
        <v>25804</v>
      </c>
      <c r="J60" s="8">
        <v>5000</v>
      </c>
      <c r="K60" s="21">
        <v>0</v>
      </c>
    </row>
    <row r="61" spans="1:11" x14ac:dyDescent="0.45">
      <c r="A61" s="4">
        <v>44295</v>
      </c>
      <c r="B61" s="4">
        <v>44300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1920</v>
      </c>
      <c r="I61" s="8">
        <v>26043</v>
      </c>
      <c r="J61" s="8">
        <v>5000</v>
      </c>
      <c r="K61" s="21">
        <v>0</v>
      </c>
    </row>
    <row r="62" spans="1:11" x14ac:dyDescent="0.45">
      <c r="A62" s="4">
        <v>44327</v>
      </c>
      <c r="B62" s="4">
        <v>44330</v>
      </c>
      <c r="C62" s="9" t="s">
        <v>162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4166</v>
      </c>
      <c r="I62" s="8">
        <v>24007</v>
      </c>
      <c r="J62" s="8">
        <v>10000</v>
      </c>
      <c r="K62" s="21">
        <v>0</v>
      </c>
    </row>
    <row r="63" spans="1:11" x14ac:dyDescent="0.45">
      <c r="A63" s="4">
        <v>44350</v>
      </c>
      <c r="B63" s="4">
        <v>44355</v>
      </c>
      <c r="C63" s="9" t="s">
        <v>162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1983</v>
      </c>
      <c r="I63" s="8">
        <v>25216</v>
      </c>
      <c r="J63" s="8">
        <v>5000</v>
      </c>
      <c r="K63" s="21">
        <v>0</v>
      </c>
    </row>
    <row r="64" spans="1:11" x14ac:dyDescent="0.45">
      <c r="A64" s="4">
        <v>44362</v>
      </c>
      <c r="B64" s="4">
        <v>44365</v>
      </c>
      <c r="C64" s="9" t="s">
        <v>162</v>
      </c>
      <c r="D64" s="5" t="s">
        <v>159</v>
      </c>
      <c r="E64" s="5" t="s">
        <v>295</v>
      </c>
      <c r="F64" s="5" t="s">
        <v>298</v>
      </c>
      <c r="G64" s="5"/>
      <c r="H64" s="8">
        <v>16605</v>
      </c>
      <c r="I64" s="8">
        <v>26019</v>
      </c>
      <c r="J64" s="8">
        <v>43205</v>
      </c>
      <c r="K64" s="19">
        <v>3205</v>
      </c>
    </row>
    <row r="65" spans="1:11" x14ac:dyDescent="0.45">
      <c r="A65" s="4">
        <v>44187</v>
      </c>
      <c r="B65" s="4">
        <v>44190</v>
      </c>
      <c r="C65" s="9" t="s">
        <v>161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6447</v>
      </c>
      <c r="I65" s="8">
        <v>15511</v>
      </c>
      <c r="J65" s="8">
        <v>10000</v>
      </c>
      <c r="K65" s="19">
        <v>0</v>
      </c>
    </row>
    <row r="66" spans="1:11" x14ac:dyDescent="0.45">
      <c r="A66" s="4">
        <v>44224</v>
      </c>
      <c r="B66" s="4">
        <v>44229</v>
      </c>
      <c r="C66" s="9" t="s">
        <v>161</v>
      </c>
      <c r="D66" s="5" t="s">
        <v>159</v>
      </c>
      <c r="E66" s="5" t="s">
        <v>295</v>
      </c>
      <c r="F66" s="5" t="s">
        <v>30</v>
      </c>
      <c r="G66" s="5" t="s">
        <v>160</v>
      </c>
      <c r="H66" s="8">
        <v>3093</v>
      </c>
      <c r="I66" s="8">
        <v>16167</v>
      </c>
      <c r="J66" s="8">
        <v>5000</v>
      </c>
      <c r="K66" s="19">
        <v>0</v>
      </c>
    </row>
    <row r="67" spans="1:11" x14ac:dyDescent="0.45">
      <c r="A67" s="4">
        <v>44257</v>
      </c>
      <c r="B67" s="4">
        <v>44260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2978</v>
      </c>
      <c r="I67" s="8">
        <v>16792</v>
      </c>
      <c r="J67" s="8">
        <v>5000</v>
      </c>
      <c r="K67" s="19">
        <v>0</v>
      </c>
    </row>
    <row r="68" spans="1:11" x14ac:dyDescent="0.45">
      <c r="A68" s="4">
        <v>44295</v>
      </c>
      <c r="B68" s="4">
        <v>44300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2810</v>
      </c>
      <c r="I68" s="8">
        <v>17792</v>
      </c>
      <c r="J68" s="8">
        <v>5000</v>
      </c>
      <c r="K68" s="19">
        <v>0</v>
      </c>
    </row>
    <row r="69" spans="1:11" x14ac:dyDescent="0.45">
      <c r="A69" s="4">
        <v>44327</v>
      </c>
      <c r="B69" s="4">
        <v>44330</v>
      </c>
      <c r="C69" s="9" t="s">
        <v>161</v>
      </c>
      <c r="D69" s="5" t="s">
        <v>159</v>
      </c>
      <c r="E69" s="5" t="s">
        <v>295</v>
      </c>
      <c r="F69" s="5" t="s">
        <v>30</v>
      </c>
      <c r="G69" s="5" t="s">
        <v>160</v>
      </c>
      <c r="H69" s="8">
        <v>2903</v>
      </c>
      <c r="I69" s="8">
        <v>17225</v>
      </c>
      <c r="J69" s="8">
        <v>5000</v>
      </c>
      <c r="K69" s="19">
        <v>0</v>
      </c>
    </row>
    <row r="70" spans="1:11" x14ac:dyDescent="0.45">
      <c r="A70" s="4">
        <v>44350</v>
      </c>
      <c r="B70" s="4">
        <v>44355</v>
      </c>
      <c r="C70" s="9" t="s">
        <v>161</v>
      </c>
      <c r="D70" s="5" t="s">
        <v>159</v>
      </c>
      <c r="E70" s="5" t="s">
        <v>295</v>
      </c>
      <c r="F70" s="5" t="s">
        <v>30</v>
      </c>
      <c r="G70" s="5" t="s">
        <v>160</v>
      </c>
      <c r="H70" s="8">
        <v>2819</v>
      </c>
      <c r="I70" s="8">
        <v>17736</v>
      </c>
      <c r="J70" s="8">
        <v>5000</v>
      </c>
      <c r="K70" s="19">
        <v>0</v>
      </c>
    </row>
    <row r="71" spans="1:11" x14ac:dyDescent="0.45">
      <c r="A71" s="4">
        <v>44362</v>
      </c>
      <c r="B71" s="4">
        <v>44365</v>
      </c>
      <c r="C71" s="9" t="s">
        <v>161</v>
      </c>
      <c r="D71" s="5" t="s">
        <v>159</v>
      </c>
      <c r="E71" s="5" t="s">
        <v>295</v>
      </c>
      <c r="F71" s="5" t="s">
        <v>298</v>
      </c>
      <c r="G71" s="5"/>
      <c r="H71" s="8">
        <v>21050</v>
      </c>
      <c r="I71" s="8">
        <v>18410</v>
      </c>
      <c r="J71" s="8">
        <v>38753</v>
      </c>
      <c r="K71" s="19">
        <v>3753</v>
      </c>
    </row>
    <row r="72" spans="1:11" x14ac:dyDescent="0.45">
      <c r="A72" s="4">
        <v>45243</v>
      </c>
      <c r="B72" s="4">
        <v>45247</v>
      </c>
      <c r="C72" s="9" t="s">
        <v>230</v>
      </c>
      <c r="D72" s="5" t="s">
        <v>159</v>
      </c>
      <c r="E72" s="5" t="s">
        <v>67</v>
      </c>
      <c r="F72" s="5" t="s">
        <v>30</v>
      </c>
      <c r="G72" s="5" t="s">
        <v>160</v>
      </c>
      <c r="H72" s="19">
        <v>180143</v>
      </c>
      <c r="I72" s="19">
        <v>12456</v>
      </c>
      <c r="J72" s="8">
        <v>224386</v>
      </c>
      <c r="K72" s="21">
        <v>0</v>
      </c>
    </row>
    <row r="73" spans="1:11" x14ac:dyDescent="0.45">
      <c r="A73" s="4">
        <v>45664</v>
      </c>
      <c r="B73" s="4">
        <v>45671</v>
      </c>
      <c r="C73" s="9" t="s">
        <v>230</v>
      </c>
      <c r="D73" s="5" t="s">
        <v>159</v>
      </c>
      <c r="E73" s="5" t="s">
        <v>67</v>
      </c>
      <c r="F73" s="5" t="s">
        <v>298</v>
      </c>
      <c r="G73" s="5"/>
      <c r="H73" s="21">
        <v>180143</v>
      </c>
      <c r="I73" s="21">
        <v>15148</v>
      </c>
      <c r="J73" s="21">
        <v>272881</v>
      </c>
      <c r="K73" s="19">
        <v>48494</v>
      </c>
    </row>
  </sheetData>
  <autoFilter ref="A1:K63" xr:uid="{00000000-0009-0000-0000-000007000000}">
    <sortState xmlns:xlrd2="http://schemas.microsoft.com/office/spreadsheetml/2017/richdata2" ref="A2:K73">
      <sortCondition ref="C1:C63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2026-05-31T12:43:41Z</dcterms:modified>
</cp:coreProperties>
</file>