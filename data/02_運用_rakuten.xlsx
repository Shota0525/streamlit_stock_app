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344" documentId="13_ncr:1_{F23918F6-93A0-4FFC-9C54-3B208A91E086}" xr6:coauthVersionLast="47" xr6:coauthVersionMax="47" xr10:uidLastSave="{F695F851-9A9D-4210-A143-33E2ABC3DF33}"/>
  <bookViews>
    <workbookView xWindow="-108" yWindow="-108" windowWidth="23256" windowHeight="12456" tabRatio="819" activeTab="7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国内株式_特定!$A$1:$N$814</definedName>
    <definedName name="_xlnm._FilterDatabase" localSheetId="5" hidden="1">国内株式_特定_配当!$A$1:$K$15</definedName>
    <definedName name="_xlnm._FilterDatabase" localSheetId="7" hidden="1">投資信託!$A$1:$K$57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815" i="6" l="1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N10" i="10"/>
  <c r="M10" i="10"/>
  <c r="L10" i="10"/>
  <c r="K10" i="10"/>
  <c r="H10" i="10"/>
  <c r="G10" i="10"/>
  <c r="F10" i="10"/>
  <c r="D10" i="10"/>
  <c r="C10" i="10"/>
  <c r="B10" i="10"/>
  <c r="E10" i="10" s="1"/>
  <c r="Q10" i="10" l="1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K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S10" i="10" l="1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J59" i="2"/>
  <c r="K59" i="2"/>
  <c r="H59" i="2"/>
  <c r="J82" i="5"/>
  <c r="K82" i="5"/>
  <c r="H82" i="5"/>
  <c r="N752" i="6"/>
  <c r="M755" i="6"/>
  <c r="M754" i="6"/>
  <c r="M753" i="6"/>
  <c r="M752" i="6"/>
  <c r="J81" i="5"/>
  <c r="K81" i="5"/>
  <c r="H81" i="5"/>
  <c r="J53" i="2"/>
  <c r="K53" i="2" s="1"/>
  <c r="H53" i="2"/>
  <c r="M751" i="6"/>
  <c r="J80" i="5"/>
  <c r="K80" i="5" s="1"/>
  <c r="H80" i="5"/>
  <c r="H24" i="2"/>
  <c r="J24" i="2" s="1"/>
  <c r="K24" i="2" s="1"/>
  <c r="J50" i="2"/>
  <c r="K50" i="2" s="1"/>
  <c r="H50" i="2"/>
  <c r="J79" i="5"/>
  <c r="K79" i="5"/>
  <c r="H79" i="5"/>
  <c r="N749" i="6" l="1"/>
  <c r="M748" i="6"/>
  <c r="M749" i="6"/>
  <c r="M750" i="6"/>
  <c r="H58" i="2"/>
  <c r="J58" i="2" s="1"/>
  <c r="K58" i="2" s="1"/>
  <c r="H57" i="2"/>
  <c r="J57" i="2" s="1"/>
  <c r="K57" i="2" s="1"/>
  <c r="H56" i="2"/>
  <c r="J56" i="2" s="1"/>
  <c r="K56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55" i="2"/>
  <c r="J55" i="2" s="1"/>
  <c r="K55" i="2" s="1"/>
  <c r="H54" i="2"/>
  <c r="J54" i="2" s="1"/>
  <c r="K54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6" i="2"/>
  <c r="J16" i="2" s="1"/>
  <c r="K16" i="2" s="1"/>
  <c r="H17" i="2"/>
  <c r="J17" i="2" s="1"/>
  <c r="K17" i="2" s="1"/>
  <c r="M657" i="6"/>
  <c r="M656" i="6"/>
  <c r="M655" i="6"/>
  <c r="M654" i="6"/>
  <c r="I71" i="3"/>
  <c r="K71" i="3"/>
  <c r="H4" i="2"/>
  <c r="J4" i="2"/>
  <c r="K4" i="2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49" i="2"/>
  <c r="J49" i="2" s="1"/>
  <c r="K49" i="2" s="1"/>
  <c r="M630" i="6"/>
  <c r="M631" i="6"/>
  <c r="M632" i="6"/>
  <c r="M633" i="6"/>
  <c r="H23" i="2"/>
  <c r="J23" i="2" s="1"/>
  <c r="K23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48" i="2"/>
  <c r="J48" i="2" s="1"/>
  <c r="K48" i="2" s="1"/>
  <c r="H29" i="2"/>
  <c r="J29" i="2" s="1"/>
  <c r="K29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2" i="2"/>
  <c r="J22" i="2" s="1"/>
  <c r="K22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38" i="2"/>
  <c r="J38" i="2" s="1"/>
  <c r="K38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4" i="2"/>
  <c r="J14" i="2" s="1"/>
  <c r="K14" i="2" s="1"/>
  <c r="H15" i="2"/>
  <c r="J15" i="2" s="1"/>
  <c r="K15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7" i="2"/>
  <c r="J7" i="2" s="1"/>
  <c r="K7" i="2" s="1"/>
  <c r="H28" i="2"/>
  <c r="J28" i="2" s="1"/>
  <c r="K28" i="2" s="1"/>
  <c r="H48" i="5" l="1"/>
  <c r="J48" i="5" s="1"/>
  <c r="K48" i="5" s="1"/>
  <c r="H46" i="2"/>
  <c r="J46" i="2" s="1"/>
  <c r="K46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37" i="2"/>
  <c r="J37" i="2" s="1"/>
  <c r="K37" i="2" s="1"/>
  <c r="H13" i="2"/>
  <c r="J13" i="2" s="1"/>
  <c r="K13" i="2" s="1"/>
  <c r="H12" i="2"/>
  <c r="J12" i="2" s="1"/>
  <c r="K12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52" i="2"/>
  <c r="J52" i="2" s="1"/>
  <c r="K52" i="2" s="1"/>
  <c r="J42" i="5"/>
  <c r="K42" i="5" s="1"/>
  <c r="H42" i="5"/>
  <c r="H41" i="5" l="1"/>
  <c r="J41" i="5" s="1"/>
  <c r="K41" i="5" s="1"/>
  <c r="H30" i="2"/>
  <c r="J30" i="2" s="1"/>
  <c r="K30" i="2" s="1"/>
  <c r="M464" i="6"/>
  <c r="M463" i="6"/>
  <c r="H21" i="2"/>
  <c r="J21" i="2" s="1"/>
  <c r="K21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27" i="2" l="1"/>
  <c r="J27" i="2" s="1"/>
  <c r="K27" i="2" s="1"/>
  <c r="H45" i="2"/>
  <c r="J45" i="2" s="1"/>
  <c r="K45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6" i="2"/>
  <c r="J6" i="2" s="1"/>
  <c r="K6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0" i="2"/>
  <c r="J20" i="2" s="1"/>
  <c r="K20" i="2" s="1"/>
  <c r="H36" i="2"/>
  <c r="J36" i="2" s="1"/>
  <c r="K36" i="2" s="1"/>
  <c r="M356" i="6"/>
  <c r="H11" i="2"/>
  <c r="J11" i="2" s="1"/>
  <c r="K11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26" i="2"/>
  <c r="J26" i="2" s="1"/>
  <c r="K26" i="2" s="1"/>
  <c r="M30" i="1"/>
  <c r="M330" i="6"/>
  <c r="M329" i="6"/>
  <c r="H30" i="5"/>
  <c r="J30" i="5"/>
  <c r="K30" i="5"/>
  <c r="M328" i="6"/>
  <c r="H44" i="2"/>
  <c r="J44" i="2" s="1"/>
  <c r="K44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35" i="2"/>
  <c r="J35" i="2" s="1"/>
  <c r="K35" i="2" s="1"/>
  <c r="H10" i="2"/>
  <c r="J10" i="2" s="1"/>
  <c r="K10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51" i="2"/>
  <c r="J51" i="2" s="1"/>
  <c r="K5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9" i="2"/>
  <c r="J9" i="2" s="1"/>
  <c r="K9" i="2" s="1"/>
  <c r="H19" i="2"/>
  <c r="J19" i="2" s="1"/>
  <c r="K19" i="2" s="1"/>
  <c r="H34" i="2"/>
  <c r="J34" i="2" s="1"/>
  <c r="K34" i="2" s="1"/>
  <c r="H43" i="2"/>
  <c r="J43" i="2" s="1"/>
  <c r="K43" i="2" s="1"/>
  <c r="H8" i="2"/>
  <c r="J8" i="2" s="1"/>
  <c r="K8" i="2" s="1"/>
  <c r="H18" i="2"/>
  <c r="J18" i="2" s="1"/>
  <c r="K18" i="2" s="1"/>
  <c r="H31" i="2"/>
  <c r="J31" i="2" s="1"/>
  <c r="K31" i="2" s="1"/>
  <c r="H32" i="2"/>
  <c r="J32" i="2"/>
  <c r="K32" i="2" s="1"/>
  <c r="H33" i="2"/>
  <c r="J33" i="2" s="1"/>
  <c r="K33" i="2" s="1"/>
  <c r="H39" i="2"/>
  <c r="J39" i="2" s="1"/>
  <c r="K39" i="2" s="1"/>
  <c r="H40" i="2"/>
  <c r="J40" i="2" s="1"/>
  <c r="K40" i="2" s="1"/>
  <c r="H41" i="2"/>
  <c r="J41" i="2" s="1"/>
  <c r="K41" i="2" s="1"/>
  <c r="H42" i="2"/>
  <c r="J42" i="2" s="1"/>
  <c r="K42" i="2" s="1"/>
  <c r="H47" i="2"/>
  <c r="J47" i="2" s="1"/>
  <c r="K47" i="2" s="1"/>
  <c r="H5" i="2"/>
  <c r="J5" i="2" s="1"/>
  <c r="K5" i="2" s="1"/>
  <c r="H25" i="2"/>
  <c r="J25" i="2" s="1"/>
  <c r="K25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N5" i="10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<sst xmlns="http://schemas.openxmlformats.org/spreadsheetml/2006/main" count="6554" uniqueCount="441">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</sst>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  <xf numFmtId="38" fontId="0" fillId="0" borderId="15" xfId="1" applyFont="1" applyFill="1" applyBorder="1">
      <alignment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zoomScale="80" zoomScaleNormal="80" workbookViewId="0">
      <selection activeCell="J13" sqref="J13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8" t="s">
        <v>213</v>
      </c>
      <c r="C1" s="58"/>
      <c r="D1" s="58"/>
      <c r="E1" s="58"/>
      <c r="F1" s="58" t="s">
        <v>216</v>
      </c>
      <c r="G1" s="58"/>
      <c r="H1" s="58"/>
      <c r="I1" s="58"/>
      <c r="J1" s="58"/>
      <c r="K1" s="58" t="s">
        <v>218</v>
      </c>
      <c r="L1" s="58"/>
      <c r="M1" s="58"/>
      <c r="N1" s="58"/>
      <c r="O1" s="64" t="s">
        <v>302</v>
      </c>
      <c r="P1" s="65"/>
      <c r="Q1" s="65"/>
      <c r="R1" s="66"/>
      <c r="S1" s="37" t="s">
        <v>219</v>
      </c>
      <c r="U1" s="48" t="s">
        <v>361</v>
      </c>
      <c r="V1" s="48" t="s">
        <v>362</v>
      </c>
    </row>
    <row r="2" spans="1:22" x14ac:dyDescent="0.45">
      <c r="B2" s="54" t="s">
        <v>212</v>
      </c>
      <c r="C2" s="54"/>
      <c r="D2" s="54" t="s">
        <v>211</v>
      </c>
      <c r="E2" s="56" t="s">
        <v>214</v>
      </c>
      <c r="F2" s="54" t="s">
        <v>212</v>
      </c>
      <c r="G2" s="54"/>
      <c r="H2" s="54" t="s">
        <v>211</v>
      </c>
      <c r="I2" s="56" t="s">
        <v>214</v>
      </c>
      <c r="J2" s="61" t="s">
        <v>217</v>
      </c>
      <c r="K2" s="54" t="s">
        <v>212</v>
      </c>
      <c r="L2" s="54"/>
      <c r="M2" s="56" t="s">
        <v>214</v>
      </c>
      <c r="N2" s="61" t="s">
        <v>217</v>
      </c>
      <c r="O2" s="62" t="s">
        <v>212</v>
      </c>
      <c r="P2" s="63"/>
      <c r="Q2" s="56" t="s">
        <v>214</v>
      </c>
      <c r="R2" s="61" t="s">
        <v>217</v>
      </c>
      <c r="S2" s="60" t="s">
        <v>214</v>
      </c>
      <c r="U2" s="49">
        <v>44145</v>
      </c>
      <c r="V2" s="49">
        <f ca="1">TODAY()</f>
        <v>46068</v>
      </c>
    </row>
    <row r="3" spans="1:22" x14ac:dyDescent="0.45">
      <c r="B3" s="33" t="s">
        <v>206</v>
      </c>
      <c r="C3" s="33" t="s">
        <v>207</v>
      </c>
      <c r="D3" s="55"/>
      <c r="E3" s="57"/>
      <c r="F3" s="32" t="s">
        <v>206</v>
      </c>
      <c r="G3" s="32" t="s">
        <v>207</v>
      </c>
      <c r="H3" s="54"/>
      <c r="I3" s="56"/>
      <c r="J3" s="56"/>
      <c r="K3" s="32" t="s">
        <v>206</v>
      </c>
      <c r="L3" s="32" t="s">
        <v>207</v>
      </c>
      <c r="M3" s="56"/>
      <c r="N3" s="56"/>
      <c r="O3" s="32" t="s">
        <v>206</v>
      </c>
      <c r="P3" s="32" t="s">
        <v>207</v>
      </c>
      <c r="Q3" s="56"/>
      <c r="R3" s="56"/>
      <c r="S3" s="60"/>
      <c r="U3" s="58" t="s">
        <v>363</v>
      </c>
      <c r="V3" s="58"/>
    </row>
    <row r="4" spans="1:22" x14ac:dyDescent="0.45">
      <c r="A4" s="34" t="s">
        <v>215</v>
      </c>
      <c r="B4" s="20">
        <f>SUM(B5:B100)</f>
        <v>2768600</v>
      </c>
      <c r="C4" s="20">
        <f>SUM(C5:C100)</f>
        <v>-49300</v>
      </c>
      <c r="D4" s="20">
        <f>SUM(D5:D100)</f>
        <v>450295</v>
      </c>
      <c r="E4" s="35">
        <f>SUM(B4:D4)</f>
        <v>3169595</v>
      </c>
      <c r="F4" s="20">
        <f>SUM(F5:F100)</f>
        <v>8598063</v>
      </c>
      <c r="G4" s="20">
        <f>SUM(G5:G100)</f>
        <v>-3705029</v>
      </c>
      <c r="H4" s="20">
        <f>SUM(H5:H100)</f>
        <v>802155</v>
      </c>
      <c r="I4" s="35">
        <f>SUM(F4:H4)</f>
        <v>5695189</v>
      </c>
      <c r="J4" s="35">
        <f>SUM(J5:J100)</f>
        <v>4538211.3546500001</v>
      </c>
      <c r="K4" s="20">
        <f>SUM(K5:K100)</f>
        <v>210348</v>
      </c>
      <c r="L4" s="20">
        <f>SUM(L5:L100)</f>
        <v>-674243</v>
      </c>
      <c r="M4" s="35">
        <f>SUM(K4:L4)</f>
        <v>-463895</v>
      </c>
      <c r="N4" s="35">
        <f>SUM(N5:N100)</f>
        <v>-465950.67485000001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7393430.8931</v>
      </c>
      <c r="U4" s="59">
        <f ca="1">(V2-U2)/365</f>
        <v>5.2684931506849315</v>
      </c>
      <c r="V4" s="59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SUMIFS(国内株式_NISA_配当!$K$2:$K$1003,国内株式_NISA_配当!$A$2:$A$1003,"&gt;=2021/1/1",国内株式_NISA_配当!$A$2:$A$1003,"&lt;=2021/12/31")</f>
        <v>27700</v>
      </c>
      <c r="E5" s="35">
        <f t="shared" ref="E5:E7" si="0">SUM(B5:D5)</f>
        <v>160060</v>
      </c>
      <c r="F5" s="19">
        <f>SUMIFS(国内株式_特定!$N$2:$N$998,国内株式_特定!$B$2:$B$998,"&gt;=2021/1/1",国内株式_特定!$B$2:$B$998,"&lt;=2021/12/31",国内株式_特定!$N$2:$N$998,"&gt;=0")</f>
        <v>630746</v>
      </c>
      <c r="G5" s="19">
        <f>SUMIFS(国内株式_特定!$N$2:$N$998,国内株式_特定!$B$2:$B$998,"&gt;=2021/1/1",国内株式_特定!$B$2:$B$998,"&lt;=2021/12/31",国内株式_特定!$N$2:$N$998,"&lt;0")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SUMIFS(投資信託!$K$2:$K$1025,投資信託!$B$2:$B$1025,"&gt;=2021/1/1",投資信託!$B$2:$B$1025,"&lt;=2021/12/31",投資信託!$K$2:$K$1025,"&gt;=0")</f>
        <v>7366</v>
      </c>
      <c r="P5" s="19">
        <f>SUMIFS(投資信託!$K$2:$K$1025,投資信託!$B$2:$B$1025,"&gt;=2021/1/1",投資信託!$B$2:$B$1025,"&lt;=2021/12/31",投資信託!$K$2:$K$1025,"&lt;0")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SUMIFS(国内株式_NISA_配当!$K$2:$K$1003,国内株式_NISA_配当!$A$2:$A$1003,"&gt;=2022/1/1",国内株式_NISA_配当!$A$2:$A$1003,"&lt;=2022/12/31")</f>
        <v>35720</v>
      </c>
      <c r="E6" s="35">
        <f t="shared" si="0"/>
        <v>35720</v>
      </c>
      <c r="F6" s="19">
        <f>SUMIFS(国内株式_特定!$N$2:$N$998,国内株式_特定!$B$2:$B$998,"&gt;=2022/1/1",国内株式_特定!$B$2:$B$998,"&lt;=2022/12/31",国内株式_特定!$N$2:$N$998,"&gt;=0")</f>
        <v>619915</v>
      </c>
      <c r="G6" s="19">
        <f>SUMIFS(国内株式_特定!$N$2:$N$998,国内株式_特定!$B$2:$B$998,"&gt;=2022/1/1",国内株式_特定!$B$2:$B$998,"&lt;=2022/12/31",国内株式_特定!$N$2:$N$998,"&lt;0")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SUMIFS(投資信託!$K$2:$K$1025,投資信託!$B$2:$B$1025,"&gt;=2022/1/1",投資信託!$B$2:$B$1025,"&lt;=2022/12/31",投資信託!$K$2:$K$1025,"&gt;=0")</f>
        <v>0</v>
      </c>
      <c r="P6" s="19">
        <f>SUMIFS(投資信託!$K$2:$K$1025,投資信託!$B$2:$B$1025,"&gt;=2022/1/1",投資信託!$B$2:$B$1025,"&lt;=2022/12/31",投資信託!$K$2:$K$1025,"&lt;0")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SUMIFS(国内株式_NISA_配当!$K$2:$K$1003,国内株式_NISA_配当!$A$2:$A$1003,"&gt;=2023/1/1",国内株式_NISA_配当!$A$2:$A$1003,"&lt;=2023/12/31")</f>
        <v>88900</v>
      </c>
      <c r="E7" s="35">
        <f t="shared" si="0"/>
        <v>214320</v>
      </c>
      <c r="F7" s="19">
        <f>SUMIFS(国内株式_特定!$N$2:$N$998,国内株式_特定!$B$2:$B$998,"&gt;=2023/1/1",国内株式_特定!$B$2:$B$998,"&lt;=2023/12/31",国内株式_特定!$N$2:$N$998,"&gt;=0")</f>
        <v>1679057</v>
      </c>
      <c r="G7" s="19">
        <f>SUMIFS(国内株式_特定!$N$2:$N$998,国内株式_特定!$B$2:$B$998,"&gt;=2023/1/1",国内株式_特定!$B$2:$B$998,"&lt;=2023/12/31",国内株式_特定!$N$2:$N$998,"&lt;0")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SUMIFS(投資信託!$K$2:$K$1025,投資信託!$B$2:$B$1025,"&gt;=2023/1/1",投資信託!$B$2:$B$1025,"&lt;=2023/12/31",投資信託!$K$2:$K$1025,"&gt;=0")</f>
        <v>0</v>
      </c>
      <c r="P7" s="19">
        <f>SUMIFS(投資信託!$K$2:$K$1025,投資信託!$B$2:$B$1025,"&gt;=2023/1/1",投資信託!$B$2:$B$1025,"&lt;=2023/12/31",投資信託!$K$2:$K$1025,"&lt;0")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SUMIFS(国内株式_NISA_配当!$K$2:$K$1003,国内株式_NISA_配当!$A$2:$A$1003,"&gt;=2024/1/1",国内株式_NISA_配当!$A$2:$A$1003,"&lt;=2024/12/31")</f>
        <v>136475</v>
      </c>
      <c r="E8" s="35">
        <f t="shared" ref="E8:E10" si="7">SUM(B8:D8)</f>
        <v>111775</v>
      </c>
      <c r="F8" s="19">
        <f>SUMIFS(国内株式_特定!$N$2:$N$998,国内株式_特定!$B$2:$B$998,"&gt;=2024/1/1",国内株式_特定!$B$2:$B$998,"&lt;=2024/12/31",国内株式_特定!$N$2:$N$998,"&gt;=0")</f>
        <v>2059210</v>
      </c>
      <c r="G8" s="19">
        <f>SUMIFS(国内株式_特定!$N$2:$N$998,国内株式_特定!$B$2:$B$998,"&gt;=2024/1/1",国内株式_特定!$B$2:$B$998,"&lt;=2024/12/31",国内株式_特定!$N$2:$N$998,"&lt;0")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SUMIFS(投資信託!$K$2:$K$1025,投資信託!$B$2:$B$1025,"&gt;=2024/1/1",投資信託!$B$2:$B$1025,"&lt;=2024/12/31",投資信託!$K$2:$K$1025,"&gt;=0")</f>
        <v>0</v>
      </c>
      <c r="P8" s="19">
        <f>SUMIFS(投資信託!$K$2:$K$1025,投資信託!$B$2:$B$1025,"&gt;=2024/1/1",投資信託!$B$2:$B$1025,"&lt;=2024/12/31",投資信託!$K$2:$K$1025,"&lt;0")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SUMIFS(国内株式_NISA_配当!$K$2:$K$1003,国内株式_NISA_配当!$A$2:$A$1003,"&gt;=2025/1/1",国内株式_NISA_配当!$A$2:$A$1003,"&lt;=2025/12/31")</f>
        <v>161500</v>
      </c>
      <c r="E9" s="35">
        <f t="shared" si="7"/>
        <v>2647720</v>
      </c>
      <c r="F9" s="19">
        <f>SUMIFS(国内株式_特定!$N$2:$N$998,国内株式_特定!$B$2:$B$998,"&gt;=2025/1/1",国内株式_特定!$B$2:$B$998,"&lt;=2025/12/31",国内株式_特定!$N$2:$N$998,"&gt;=0")</f>
        <v>2657465</v>
      </c>
      <c r="G9" s="19">
        <f>SUMIFS(国内株式_特定!$N$2:$N$998,国内株式_特定!$B$2:$B$998,"&gt;=2025/1/1",国内株式_特定!$B$2:$B$998,"&lt;=2025/12/31",国内株式_特定!$N$2:$N$998,"&lt;0")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SUMIFS(投資信託!$K$2:$K$1025,投資信託!$B$2:$B$1025,"&gt;=2025/1/1",投資信託!$B$2:$B$1025,"&lt;=2025/12/31",投資信託!$K$2:$K$1025,"&gt;=0")</f>
        <v>185421</v>
      </c>
      <c r="P9" s="19">
        <f>SUMIFS(投資信託!$K$2:$K$1025,投資信託!$B$2:$B$1025,"&gt;=2025/1/1",投資信託!$B$2:$B$1025,"&lt;=2025/12/31",投資信託!$K$2:$K$1025,"&lt;0")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0</v>
      </c>
      <c r="D10" s="19">
        <f>SUMIFS(国内株式_NISA_配当!$K$2:$K$1003,国内株式_NISA_配当!$A$2:$A$1003,"&gt;=2026/1/1",国内株式_NISA_配当!$A$2:$A$1003,"&lt;=2026/12/31")</f>
        <v>0</v>
      </c>
      <c r="E10" s="35">
        <f t="shared" si="7"/>
        <v>0</v>
      </c>
      <c r="F10" s="19">
        <f>SUMIFS(国内株式_特定!$N$2:$N$998,国内株式_特定!$B$2:$B$998,"&gt;=2026/1/1",国内株式_特定!$B$2:$B$998,"&lt;=2026/12/31",国内株式_特定!$N$2:$N$998,"&gt;=0")</f>
        <v>951670</v>
      </c>
      <c r="G10" s="19">
        <f>SUMIFS(国内株式_特定!$N$2:$N$998,国内株式_特定!$B$2:$B$998,"&gt;=2026/1/1",国内株式_特定!$B$2:$B$998,"&lt;=2026/12/31",国内株式_特定!$N$2:$N$998,"&lt;0")</f>
        <v>-279730</v>
      </c>
      <c r="H10" s="19">
        <f>SUMIFS(国内株式_特定_配当!$H$2:$H$999,国内株式_特定_配当!$A$2:$A$999,"&gt;=2026/1/1",国内株式_特定_配当!$A$2:$A$999,"&lt;=2026/12/31")</f>
        <v>0</v>
      </c>
      <c r="I10" s="35">
        <f t="shared" si="11"/>
        <v>671940</v>
      </c>
      <c r="J10" s="36">
        <f t="shared" si="1"/>
        <v>535435.38899999997</v>
      </c>
      <c r="K10" s="19">
        <f>SUMIFS(国内株式_信用!$P$2:$P$1000,国内株式_信用!$B$2:$B$1000,"&gt;=2026/1/1",国内株式_信用!$B$2:$B$1000,"&lt;=2026/12/31",国内株式_信用!$P$2:$P$1000,"&gt;=0")</f>
        <v>0</v>
      </c>
      <c r="L10" s="19">
        <f>SUMIFS(国内株式_信用!$P$2:$P$1000,国内株式_信用!$B$2:$B$1000,"&gt;=2026/1/1",国内株式_信用!$B$2:$B$1000,"&lt;=2026/12/31",国内株式_信用!$P$2:$P$1000,"&lt;0")</f>
        <v>0</v>
      </c>
      <c r="M10" s="35">
        <f t="shared" si="12"/>
        <v>0</v>
      </c>
      <c r="N10" s="36">
        <f t="shared" si="13"/>
        <v>0</v>
      </c>
      <c r="O10" s="19">
        <f>SUMIFS(投資信託!$K$2:$K$1025,投資信託!$B$2:$B$1025,"&gt;=2026/1/1",投資信託!$B$2:$B$1025,"&lt;=2026/12/31",投資信託!$K$2:$K$1025,"&gt;=0")</f>
        <v>0</v>
      </c>
      <c r="P10" s="19">
        <f>SUMIFS(投資信託!$K$2:$K$1025,投資信託!$B$2:$B$1025,"&gt;=2026/1/1",投資信託!$B$2:$B$1025,"&lt;=2026/12/31",投資信託!$K$2:$K$1025,"&lt;0")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535435.38899999997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  <mergeCell ref="D2:D3"/>
    <mergeCell ref="B2:C2"/>
    <mergeCell ref="E2:E3"/>
    <mergeCell ref="B1:E1"/>
    <mergeCell ref="F2:G2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8" t="s">
        <v>417</v>
      </c>
      <c r="C1" s="58"/>
      <c r="D1" s="58"/>
      <c r="E1" s="58"/>
      <c r="F1" s="58" t="s">
        <v>416</v>
      </c>
      <c r="G1" s="58"/>
      <c r="H1" s="58"/>
      <c r="I1" s="58"/>
      <c r="J1" s="58"/>
      <c r="K1" s="68" t="s">
        <v>219</v>
      </c>
      <c r="L1" s="68"/>
    </row>
    <row r="2" spans="1:12" x14ac:dyDescent="0.45">
      <c r="B2" s="54" t="s">
        <v>212</v>
      </c>
      <c r="C2" s="54"/>
      <c r="D2" s="67" t="s">
        <v>418</v>
      </c>
      <c r="E2" s="56" t="s">
        <v>214</v>
      </c>
      <c r="F2" s="54" t="s">
        <v>212</v>
      </c>
      <c r="G2" s="54"/>
      <c r="H2" s="67" t="s">
        <v>418</v>
      </c>
      <c r="I2" s="56" t="s">
        <v>214</v>
      </c>
      <c r="J2" s="61" t="s">
        <v>217</v>
      </c>
      <c r="K2" s="60" t="s">
        <v>214</v>
      </c>
      <c r="L2" s="69" t="s">
        <v>418</v>
      </c>
    </row>
    <row r="3" spans="1:12" x14ac:dyDescent="0.45">
      <c r="B3" s="33" t="s">
        <v>206</v>
      </c>
      <c r="C3" s="33" t="s">
        <v>207</v>
      </c>
      <c r="D3" s="55"/>
      <c r="E3" s="57"/>
      <c r="F3" s="32" t="s">
        <v>206</v>
      </c>
      <c r="G3" s="32" t="s">
        <v>207</v>
      </c>
      <c r="H3" s="55"/>
      <c r="I3" s="56"/>
      <c r="J3" s="56"/>
      <c r="K3" s="60"/>
      <c r="L3" s="70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2"/>
  <sheetViews>
    <sheetView zoomScaleNormal="100" workbookViewId="0">
      <pane xSplit="4" ySplit="1" topLeftCell="K48" activePane="bottomRight" state="frozen"/>
      <selection pane="topRight" activeCell="E1" sqref="E1"/>
      <selection pane="bottomLeft" activeCell="A2" sqref="A2"/>
      <selection pane="bottomRight" activeCell="D65" sqref="D65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2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59"/>
  <sheetViews>
    <sheetView zoomScale="80" zoomScaleNormal="80" workbookViewId="0">
      <pane ySplit="1" topLeftCell="A50" activePane="bottomLeft" state="frozen"/>
      <selection pane="bottomLeft" activeCell="G66" sqref="G66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4" si="0">F2*G2</f>
        <v>1600</v>
      </c>
      <c r="I2" s="19">
        <v>0</v>
      </c>
      <c r="J2" s="19">
        <f t="shared" ref="J2:J34" si="1">H2-I2</f>
        <v>1600</v>
      </c>
      <c r="K2" s="19">
        <f t="shared" ref="K2:K34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45001</v>
      </c>
      <c r="B5" s="5" t="s">
        <v>50</v>
      </c>
      <c r="C5" s="5" t="s">
        <v>258</v>
      </c>
      <c r="D5" s="5">
        <v>4324</v>
      </c>
      <c r="E5" s="9" t="s">
        <v>182</v>
      </c>
      <c r="F5" s="9">
        <v>85</v>
      </c>
      <c r="G5" s="5">
        <v>100</v>
      </c>
      <c r="H5" s="19">
        <f t="shared" si="0"/>
        <v>8500</v>
      </c>
      <c r="I5" s="19">
        <v>0</v>
      </c>
      <c r="J5" s="19">
        <f t="shared" si="1"/>
        <v>8500</v>
      </c>
      <c r="K5" s="19">
        <f t="shared" si="2"/>
        <v>8500</v>
      </c>
    </row>
    <row r="6" spans="1:11" x14ac:dyDescent="0.45">
      <c r="A6" s="4">
        <v>45365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61</v>
      </c>
      <c r="G6" s="5">
        <v>100</v>
      </c>
      <c r="H6" s="19">
        <f t="shared" si="0"/>
        <v>6100</v>
      </c>
      <c r="I6" s="19">
        <v>0</v>
      </c>
      <c r="J6" s="19">
        <f t="shared" si="1"/>
        <v>6100</v>
      </c>
      <c r="K6" s="19">
        <f t="shared" si="2"/>
        <v>6100</v>
      </c>
    </row>
    <row r="7" spans="1:11" x14ac:dyDescent="0.45">
      <c r="A7" s="4">
        <v>45547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69.75</v>
      </c>
      <c r="G7" s="5">
        <v>100</v>
      </c>
      <c r="H7" s="19">
        <f t="shared" si="0"/>
        <v>6975</v>
      </c>
      <c r="I7" s="19">
        <v>0</v>
      </c>
      <c r="J7" s="19">
        <f t="shared" si="1"/>
        <v>6975</v>
      </c>
      <c r="K7" s="19">
        <f t="shared" si="2"/>
        <v>6975</v>
      </c>
    </row>
    <row r="8" spans="1:11" x14ac:dyDescent="0.45">
      <c r="A8" s="4">
        <v>44742</v>
      </c>
      <c r="B8" s="5" t="s">
        <v>50</v>
      </c>
      <c r="C8" s="5" t="s">
        <v>258</v>
      </c>
      <c r="D8" s="5">
        <v>4502</v>
      </c>
      <c r="E8" s="9" t="s">
        <v>42</v>
      </c>
      <c r="F8" s="9">
        <v>90</v>
      </c>
      <c r="G8" s="5">
        <v>100</v>
      </c>
      <c r="H8" s="19">
        <f t="shared" si="0"/>
        <v>9000</v>
      </c>
      <c r="I8" s="19">
        <v>1828</v>
      </c>
      <c r="J8" s="19">
        <f t="shared" si="1"/>
        <v>7172</v>
      </c>
      <c r="K8" s="19">
        <f t="shared" si="2"/>
        <v>7172</v>
      </c>
    </row>
    <row r="9" spans="1:11" x14ac:dyDescent="0.45">
      <c r="A9" s="4">
        <v>44896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0</v>
      </c>
      <c r="J9" s="19">
        <f t="shared" si="1"/>
        <v>9000</v>
      </c>
      <c r="K9" s="19">
        <f t="shared" si="2"/>
        <v>9000</v>
      </c>
    </row>
    <row r="10" spans="1:11" x14ac:dyDescent="0.45">
      <c r="A10" s="4">
        <v>45106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45261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94</v>
      </c>
      <c r="G11" s="5">
        <v>100</v>
      </c>
      <c r="H11" s="19">
        <f t="shared" si="0"/>
        <v>9400</v>
      </c>
      <c r="I11" s="19">
        <v>0</v>
      </c>
      <c r="J11" s="19">
        <f t="shared" si="1"/>
        <v>9400</v>
      </c>
      <c r="K11" s="19">
        <f t="shared" si="2"/>
        <v>9400</v>
      </c>
    </row>
    <row r="12" spans="1:11" x14ac:dyDescent="0.45">
      <c r="A12" s="4">
        <v>45470</v>
      </c>
      <c r="B12" s="5" t="s">
        <v>50</v>
      </c>
      <c r="C12" s="5" t="s">
        <v>257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258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45628</v>
      </c>
      <c r="B14" s="5" t="s">
        <v>50</v>
      </c>
      <c r="C14" s="5" t="s">
        <v>257</v>
      </c>
      <c r="D14" s="5">
        <v>4502</v>
      </c>
      <c r="E14" s="9" t="s">
        <v>42</v>
      </c>
      <c r="F14" s="9">
        <v>98</v>
      </c>
      <c r="G14" s="5">
        <v>100</v>
      </c>
      <c r="H14" s="19">
        <f t="shared" si="0"/>
        <v>9800</v>
      </c>
      <c r="I14" s="19">
        <v>0</v>
      </c>
      <c r="J14" s="19">
        <f t="shared" si="1"/>
        <v>9800</v>
      </c>
      <c r="K14" s="19">
        <f t="shared" si="2"/>
        <v>9800</v>
      </c>
    </row>
    <row r="15" spans="1:11" x14ac:dyDescent="0.45">
      <c r="A15" s="4">
        <v>45628</v>
      </c>
      <c r="B15" s="5" t="s">
        <v>50</v>
      </c>
      <c r="C15" s="5" t="s">
        <v>258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45834</v>
      </c>
      <c r="B16" s="5" t="s">
        <v>50</v>
      </c>
      <c r="C16" s="5" t="s">
        <v>257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258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44372</v>
      </c>
      <c r="B18" s="5" t="s">
        <v>50</v>
      </c>
      <c r="C18" s="5" t="s">
        <v>258</v>
      </c>
      <c r="D18" s="5">
        <v>4917</v>
      </c>
      <c r="E18" s="9" t="s">
        <v>27</v>
      </c>
      <c r="F18" s="9">
        <v>16</v>
      </c>
      <c r="G18" s="5">
        <v>100</v>
      </c>
      <c r="H18" s="19">
        <f t="shared" si="0"/>
        <v>1600</v>
      </c>
      <c r="I18" s="19">
        <v>0</v>
      </c>
      <c r="J18" s="19">
        <f t="shared" si="1"/>
        <v>1600</v>
      </c>
      <c r="K18" s="31">
        <f t="shared" si="2"/>
        <v>1600</v>
      </c>
    </row>
    <row r="19" spans="1:11" x14ac:dyDescent="0.45">
      <c r="A19" s="4">
        <v>44531</v>
      </c>
      <c r="B19" s="5" t="s">
        <v>50</v>
      </c>
      <c r="C19" s="5" t="s">
        <v>258</v>
      </c>
      <c r="D19" s="5">
        <v>4917</v>
      </c>
      <c r="E19" s="9" t="s">
        <v>27</v>
      </c>
      <c r="F19" s="9">
        <v>18</v>
      </c>
      <c r="G19" s="5">
        <v>100</v>
      </c>
      <c r="H19" s="19">
        <f t="shared" si="0"/>
        <v>1800</v>
      </c>
      <c r="I19" s="19">
        <v>0</v>
      </c>
      <c r="J19" s="19">
        <f t="shared" si="1"/>
        <v>1800</v>
      </c>
      <c r="K19" s="31">
        <f t="shared" si="2"/>
        <v>1800</v>
      </c>
    </row>
    <row r="20" spans="1:11" x14ac:dyDescent="0.45">
      <c r="A20" s="4">
        <v>45267</v>
      </c>
      <c r="B20" s="5" t="s">
        <v>50</v>
      </c>
      <c r="C20" s="5" t="s">
        <v>258</v>
      </c>
      <c r="D20" s="5">
        <v>5019</v>
      </c>
      <c r="E20" s="9" t="s">
        <v>188</v>
      </c>
      <c r="F20" s="9">
        <v>80</v>
      </c>
      <c r="G20" s="5">
        <v>100</v>
      </c>
      <c r="H20" s="19">
        <f t="shared" si="0"/>
        <v>8000</v>
      </c>
      <c r="I20" s="19">
        <v>0</v>
      </c>
      <c r="J20" s="19">
        <f t="shared" si="1"/>
        <v>8000</v>
      </c>
      <c r="K20" s="31">
        <f t="shared" si="2"/>
        <v>8000</v>
      </c>
    </row>
    <row r="21" spans="1:11" x14ac:dyDescent="0.45">
      <c r="A21" s="4">
        <v>45447</v>
      </c>
      <c r="B21" s="5" t="s">
        <v>50</v>
      </c>
      <c r="C21" s="5" t="s">
        <v>258</v>
      </c>
      <c r="D21" s="5">
        <v>5019</v>
      </c>
      <c r="E21" s="9" t="s">
        <v>188</v>
      </c>
      <c r="F21" s="9">
        <v>16</v>
      </c>
      <c r="G21" s="5">
        <v>500</v>
      </c>
      <c r="H21" s="19">
        <f t="shared" si="0"/>
        <v>8000</v>
      </c>
      <c r="I21" s="19">
        <v>0</v>
      </c>
      <c r="J21" s="19">
        <f t="shared" si="1"/>
        <v>8000</v>
      </c>
      <c r="K21" s="19">
        <f t="shared" si="2"/>
        <v>8000</v>
      </c>
    </row>
    <row r="22" spans="1:11" x14ac:dyDescent="0.45">
      <c r="A22" s="4">
        <v>45632</v>
      </c>
      <c r="B22" s="5" t="s">
        <v>50</v>
      </c>
      <c r="C22" s="5" t="s">
        <v>258</v>
      </c>
      <c r="D22" s="5">
        <v>5019</v>
      </c>
      <c r="E22" s="9" t="s">
        <v>188</v>
      </c>
      <c r="F22" s="9">
        <v>18</v>
      </c>
      <c r="G22" s="5">
        <v>500</v>
      </c>
      <c r="H22" s="19">
        <f t="shared" si="0"/>
        <v>9000</v>
      </c>
      <c r="I22" s="19">
        <v>0</v>
      </c>
      <c r="J22" s="19">
        <f t="shared" si="1"/>
        <v>9000</v>
      </c>
      <c r="K22" s="19">
        <f t="shared" si="2"/>
        <v>9000</v>
      </c>
    </row>
    <row r="23" spans="1:11" x14ac:dyDescent="0.45">
      <c r="A23" s="4">
        <v>45812</v>
      </c>
      <c r="B23" s="5" t="s">
        <v>50</v>
      </c>
      <c r="C23" s="5" t="s">
        <v>258</v>
      </c>
      <c r="D23" s="5">
        <v>5019</v>
      </c>
      <c r="E23" s="9" t="s">
        <v>188</v>
      </c>
      <c r="F23" s="9">
        <v>18</v>
      </c>
      <c r="G23" s="5">
        <v>500</v>
      </c>
      <c r="H23" s="19">
        <f t="shared" si="0"/>
        <v>9000</v>
      </c>
      <c r="I23" s="19">
        <v>0</v>
      </c>
      <c r="J23" s="19">
        <f t="shared" si="1"/>
        <v>9000</v>
      </c>
      <c r="K23" s="19">
        <f t="shared" si="2"/>
        <v>9000</v>
      </c>
    </row>
    <row r="24" spans="1:11" x14ac:dyDescent="0.45">
      <c r="A24" s="4">
        <v>45996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18</v>
      </c>
      <c r="G24" s="5">
        <v>500</v>
      </c>
      <c r="H24" s="19">
        <f t="shared" si="0"/>
        <v>9000</v>
      </c>
      <c r="I24" s="19">
        <v>0</v>
      </c>
      <c r="J24" s="19">
        <f t="shared" si="1"/>
        <v>9000</v>
      </c>
      <c r="K24" s="19">
        <f t="shared" si="2"/>
        <v>9000</v>
      </c>
    </row>
    <row r="25" spans="1:11" x14ac:dyDescent="0.45">
      <c r="A25" s="4">
        <v>45016</v>
      </c>
      <c r="B25" s="5" t="s">
        <v>50</v>
      </c>
      <c r="C25" s="5" t="s">
        <v>258</v>
      </c>
      <c r="D25" s="5">
        <v>5201</v>
      </c>
      <c r="E25" s="6" t="s">
        <v>43</v>
      </c>
      <c r="F25" s="9">
        <v>105</v>
      </c>
      <c r="G25" s="5">
        <v>100</v>
      </c>
      <c r="H25" s="19">
        <f t="shared" si="0"/>
        <v>10500</v>
      </c>
      <c r="I25" s="19">
        <v>0</v>
      </c>
      <c r="J25" s="19">
        <f t="shared" si="1"/>
        <v>10500</v>
      </c>
      <c r="K25" s="19">
        <f t="shared" si="2"/>
        <v>10500</v>
      </c>
    </row>
    <row r="26" spans="1:11" x14ac:dyDescent="0.45">
      <c r="A26" s="4">
        <v>45177</v>
      </c>
      <c r="B26" s="5" t="s">
        <v>50</v>
      </c>
      <c r="C26" s="5" t="s">
        <v>258</v>
      </c>
      <c r="D26" s="5">
        <v>5201</v>
      </c>
      <c r="E26" s="6" t="s">
        <v>43</v>
      </c>
      <c r="F26" s="9">
        <v>105</v>
      </c>
      <c r="G26" s="5">
        <v>100</v>
      </c>
      <c r="H26" s="19">
        <f t="shared" si="0"/>
        <v>10500</v>
      </c>
      <c r="I26" s="19">
        <v>0</v>
      </c>
      <c r="J26" s="19">
        <f t="shared" si="1"/>
        <v>10500</v>
      </c>
      <c r="K26" s="19">
        <f t="shared" si="2"/>
        <v>10500</v>
      </c>
    </row>
    <row r="27" spans="1:11" x14ac:dyDescent="0.45">
      <c r="A27" s="4">
        <v>45380</v>
      </c>
      <c r="B27" s="5" t="s">
        <v>50</v>
      </c>
      <c r="C27" s="5" t="s">
        <v>258</v>
      </c>
      <c r="D27" s="5">
        <v>5201</v>
      </c>
      <c r="E27" s="6" t="s">
        <v>43</v>
      </c>
      <c r="F27" s="9">
        <v>105</v>
      </c>
      <c r="G27" s="5">
        <v>100</v>
      </c>
      <c r="H27" s="19">
        <f t="shared" si="0"/>
        <v>10500</v>
      </c>
      <c r="I27" s="19">
        <v>0</v>
      </c>
      <c r="J27" s="19">
        <f t="shared" si="1"/>
        <v>10500</v>
      </c>
      <c r="K27" s="19">
        <f t="shared" si="2"/>
        <v>10500</v>
      </c>
    </row>
    <row r="28" spans="1:11" x14ac:dyDescent="0.45">
      <c r="A28" s="4">
        <v>45541</v>
      </c>
      <c r="B28" s="5" t="s">
        <v>50</v>
      </c>
      <c r="C28" s="5" t="s">
        <v>258</v>
      </c>
      <c r="D28" s="5">
        <v>5201</v>
      </c>
      <c r="E28" s="6" t="s">
        <v>43</v>
      </c>
      <c r="F28" s="9">
        <v>105</v>
      </c>
      <c r="G28" s="5">
        <v>100</v>
      </c>
      <c r="H28" s="19">
        <f t="shared" si="0"/>
        <v>10500</v>
      </c>
      <c r="I28" s="19">
        <v>0</v>
      </c>
      <c r="J28" s="19">
        <f t="shared" si="1"/>
        <v>10500</v>
      </c>
      <c r="K28" s="19">
        <f t="shared" si="2"/>
        <v>10500</v>
      </c>
    </row>
    <row r="29" spans="1:11" x14ac:dyDescent="0.45">
      <c r="A29" s="4">
        <v>45747</v>
      </c>
      <c r="B29" s="5" t="s">
        <v>50</v>
      </c>
      <c r="C29" s="5" t="s">
        <v>258</v>
      </c>
      <c r="D29" s="5">
        <v>5201</v>
      </c>
      <c r="E29" s="6" t="s">
        <v>43</v>
      </c>
      <c r="F29" s="23">
        <v>105</v>
      </c>
      <c r="G29" s="5">
        <v>100</v>
      </c>
      <c r="H29" s="19">
        <f t="shared" si="0"/>
        <v>10500</v>
      </c>
      <c r="I29" s="19">
        <v>0</v>
      </c>
      <c r="J29" s="19">
        <f t="shared" si="1"/>
        <v>10500</v>
      </c>
      <c r="K29" s="19">
        <f t="shared" si="2"/>
        <v>10500</v>
      </c>
    </row>
    <row r="30" spans="1:11" x14ac:dyDescent="0.45">
      <c r="A30" s="4">
        <v>45448</v>
      </c>
      <c r="B30" s="5" t="s">
        <v>50</v>
      </c>
      <c r="C30" s="5" t="s">
        <v>257</v>
      </c>
      <c r="D30" s="5">
        <v>6526</v>
      </c>
      <c r="E30" s="9" t="s">
        <v>239</v>
      </c>
      <c r="F30" s="9">
        <v>25</v>
      </c>
      <c r="G30" s="5">
        <v>100</v>
      </c>
      <c r="H30" s="19">
        <f t="shared" si="0"/>
        <v>2500</v>
      </c>
      <c r="I30" s="19">
        <v>0</v>
      </c>
      <c r="J30" s="19">
        <f t="shared" si="1"/>
        <v>2500</v>
      </c>
      <c r="K30" s="19">
        <f t="shared" si="2"/>
        <v>2500</v>
      </c>
    </row>
    <row r="31" spans="1:11" x14ac:dyDescent="0.45">
      <c r="A31" s="4">
        <v>44377</v>
      </c>
      <c r="B31" s="5" t="s">
        <v>50</v>
      </c>
      <c r="C31" s="5" t="s">
        <v>258</v>
      </c>
      <c r="D31" s="5">
        <v>7011</v>
      </c>
      <c r="E31" s="9" t="s">
        <v>34</v>
      </c>
      <c r="F31" s="9">
        <v>75</v>
      </c>
      <c r="G31" s="5">
        <v>100</v>
      </c>
      <c r="H31" s="19">
        <f t="shared" si="0"/>
        <v>7500</v>
      </c>
      <c r="I31" s="19">
        <v>0</v>
      </c>
      <c r="J31" s="19">
        <f t="shared" si="1"/>
        <v>7500</v>
      </c>
      <c r="K31" s="19">
        <f t="shared" si="2"/>
        <v>7500</v>
      </c>
    </row>
    <row r="32" spans="1:11" x14ac:dyDescent="0.45">
      <c r="A32" s="4">
        <v>44533</v>
      </c>
      <c r="B32" s="5" t="s">
        <v>50</v>
      </c>
      <c r="C32" s="5" t="s">
        <v>258</v>
      </c>
      <c r="D32" s="5">
        <v>7011</v>
      </c>
      <c r="E32" s="9" t="s">
        <v>34</v>
      </c>
      <c r="F32" s="9">
        <v>45</v>
      </c>
      <c r="G32" s="5">
        <v>100</v>
      </c>
      <c r="H32" s="19">
        <f t="shared" si="0"/>
        <v>4500</v>
      </c>
      <c r="I32" s="19">
        <v>0</v>
      </c>
      <c r="J32" s="19">
        <f t="shared" si="1"/>
        <v>4500</v>
      </c>
      <c r="K32" s="19">
        <f t="shared" si="2"/>
        <v>4500</v>
      </c>
    </row>
    <row r="33" spans="1:11" x14ac:dyDescent="0.45">
      <c r="A33" s="4">
        <v>44742</v>
      </c>
      <c r="B33" s="5" t="s">
        <v>50</v>
      </c>
      <c r="C33" s="5" t="s">
        <v>258</v>
      </c>
      <c r="D33" s="5">
        <v>7011</v>
      </c>
      <c r="E33" s="9" t="s">
        <v>34</v>
      </c>
      <c r="F33" s="9">
        <v>55</v>
      </c>
      <c r="G33" s="5">
        <v>100</v>
      </c>
      <c r="H33" s="19">
        <f t="shared" si="0"/>
        <v>5500</v>
      </c>
      <c r="I33" s="19">
        <v>1117</v>
      </c>
      <c r="J33" s="19">
        <f t="shared" si="1"/>
        <v>4383</v>
      </c>
      <c r="K33" s="19">
        <f t="shared" si="2"/>
        <v>4383</v>
      </c>
    </row>
    <row r="34" spans="1:11" x14ac:dyDescent="0.45">
      <c r="A34" s="4">
        <v>44900</v>
      </c>
      <c r="B34" s="5" t="s">
        <v>50</v>
      </c>
      <c r="C34" s="5" t="s">
        <v>258</v>
      </c>
      <c r="D34" s="5">
        <v>7011</v>
      </c>
      <c r="E34" s="9" t="s">
        <v>34</v>
      </c>
      <c r="F34" s="9">
        <v>60</v>
      </c>
      <c r="G34" s="5">
        <v>100</v>
      </c>
      <c r="H34" s="19">
        <f t="shared" si="0"/>
        <v>6000</v>
      </c>
      <c r="I34" s="19">
        <v>0</v>
      </c>
      <c r="J34" s="19">
        <f t="shared" si="1"/>
        <v>6000</v>
      </c>
      <c r="K34" s="19">
        <f t="shared" si="2"/>
        <v>6000</v>
      </c>
    </row>
    <row r="35" spans="1:11" x14ac:dyDescent="0.45">
      <c r="A35" s="4">
        <v>45107</v>
      </c>
      <c r="B35" s="5" t="s">
        <v>50</v>
      </c>
      <c r="C35" s="5" t="s">
        <v>258</v>
      </c>
      <c r="D35" s="5">
        <v>7011</v>
      </c>
      <c r="E35" s="9" t="s">
        <v>34</v>
      </c>
      <c r="F35" s="9">
        <v>70</v>
      </c>
      <c r="G35" s="5">
        <v>100</v>
      </c>
      <c r="H35" s="19">
        <f t="shared" ref="H35:H59" si="3">F35*G35</f>
        <v>7000</v>
      </c>
      <c r="I35" s="19">
        <v>0</v>
      </c>
      <c r="J35" s="19">
        <f t="shared" ref="J35:J54" si="4">H35-I35</f>
        <v>7000</v>
      </c>
      <c r="K35" s="19">
        <f t="shared" ref="K35:K54" si="5">J35</f>
        <v>7000</v>
      </c>
    </row>
    <row r="36" spans="1:11" x14ac:dyDescent="0.45">
      <c r="A36" s="4">
        <v>45265</v>
      </c>
      <c r="B36" s="5" t="s">
        <v>50</v>
      </c>
      <c r="C36" s="5" t="s">
        <v>258</v>
      </c>
      <c r="D36" s="5">
        <v>7011</v>
      </c>
      <c r="E36" s="9" t="s">
        <v>34</v>
      </c>
      <c r="F36" s="9">
        <v>80</v>
      </c>
      <c r="G36" s="5">
        <v>100</v>
      </c>
      <c r="H36" s="19">
        <f t="shared" si="3"/>
        <v>8000</v>
      </c>
      <c r="I36" s="19">
        <v>0</v>
      </c>
      <c r="J36" s="19">
        <f t="shared" si="4"/>
        <v>8000</v>
      </c>
      <c r="K36" s="19">
        <f t="shared" si="5"/>
        <v>8000</v>
      </c>
    </row>
    <row r="37" spans="1:11" x14ac:dyDescent="0.45">
      <c r="A37" s="4">
        <v>45471</v>
      </c>
      <c r="B37" s="5" t="s">
        <v>50</v>
      </c>
      <c r="C37" s="5" t="s">
        <v>258</v>
      </c>
      <c r="D37" s="5">
        <v>7011</v>
      </c>
      <c r="E37" s="9" t="s">
        <v>34</v>
      </c>
      <c r="F37" s="9">
        <v>120</v>
      </c>
      <c r="G37" s="5">
        <v>100</v>
      </c>
      <c r="H37" s="19">
        <f t="shared" si="3"/>
        <v>12000</v>
      </c>
      <c r="I37" s="19">
        <v>0</v>
      </c>
      <c r="J37" s="19">
        <f t="shared" si="4"/>
        <v>12000</v>
      </c>
      <c r="K37" s="19">
        <f t="shared" si="5"/>
        <v>12000</v>
      </c>
    </row>
    <row r="38" spans="1:11" x14ac:dyDescent="0.45">
      <c r="A38" s="4">
        <v>45631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11</v>
      </c>
      <c r="G38" s="5">
        <v>1000</v>
      </c>
      <c r="H38" s="19">
        <f t="shared" si="3"/>
        <v>11000</v>
      </c>
      <c r="I38" s="19">
        <v>0</v>
      </c>
      <c r="J38" s="19">
        <f t="shared" si="4"/>
        <v>11000</v>
      </c>
      <c r="K38" s="19">
        <f t="shared" si="5"/>
        <v>11000</v>
      </c>
    </row>
    <row r="39" spans="1:11" x14ac:dyDescent="0.45">
      <c r="A39" s="4">
        <v>44286</v>
      </c>
      <c r="B39" s="5" t="s">
        <v>50</v>
      </c>
      <c r="C39" s="5" t="s">
        <v>258</v>
      </c>
      <c r="D39" s="5">
        <v>7751</v>
      </c>
      <c r="E39" s="9" t="s">
        <v>35</v>
      </c>
      <c r="F39" s="9">
        <v>40</v>
      </c>
      <c r="G39" s="5">
        <v>100</v>
      </c>
      <c r="H39" s="19">
        <f t="shared" si="3"/>
        <v>4000</v>
      </c>
      <c r="I39" s="19">
        <v>0</v>
      </c>
      <c r="J39" s="19">
        <f t="shared" si="4"/>
        <v>4000</v>
      </c>
      <c r="K39" s="19">
        <f t="shared" si="5"/>
        <v>4000</v>
      </c>
    </row>
    <row r="40" spans="1:11" x14ac:dyDescent="0.45">
      <c r="A40" s="4">
        <v>44435</v>
      </c>
      <c r="B40" s="5" t="s">
        <v>50</v>
      </c>
      <c r="C40" s="5" t="s">
        <v>258</v>
      </c>
      <c r="D40" s="5">
        <v>7751</v>
      </c>
      <c r="E40" s="9" t="s">
        <v>35</v>
      </c>
      <c r="F40" s="9">
        <v>45</v>
      </c>
      <c r="G40" s="5">
        <v>100</v>
      </c>
      <c r="H40" s="19">
        <f t="shared" si="3"/>
        <v>4500</v>
      </c>
      <c r="I40" s="19">
        <v>0</v>
      </c>
      <c r="J40" s="19">
        <f t="shared" si="4"/>
        <v>4500</v>
      </c>
      <c r="K40" s="19">
        <f t="shared" si="5"/>
        <v>4500</v>
      </c>
    </row>
    <row r="41" spans="1:11" x14ac:dyDescent="0.45">
      <c r="A41" s="4">
        <v>44651</v>
      </c>
      <c r="B41" s="5" t="s">
        <v>50</v>
      </c>
      <c r="C41" s="5" t="s">
        <v>258</v>
      </c>
      <c r="D41" s="5">
        <v>7751</v>
      </c>
      <c r="E41" s="9" t="s">
        <v>35</v>
      </c>
      <c r="F41" s="9">
        <v>55</v>
      </c>
      <c r="G41" s="5">
        <v>100</v>
      </c>
      <c r="H41" s="19">
        <f t="shared" si="3"/>
        <v>5500</v>
      </c>
      <c r="I41" s="19">
        <v>1117</v>
      </c>
      <c r="J41" s="19">
        <f t="shared" si="4"/>
        <v>4383</v>
      </c>
      <c r="K41" s="19">
        <f t="shared" si="5"/>
        <v>4383</v>
      </c>
    </row>
    <row r="42" spans="1:11" x14ac:dyDescent="0.45">
      <c r="A42" s="4">
        <v>44799</v>
      </c>
      <c r="B42" s="5" t="s">
        <v>50</v>
      </c>
      <c r="C42" s="5" t="s">
        <v>258</v>
      </c>
      <c r="D42" s="5">
        <v>7751</v>
      </c>
      <c r="E42" s="9" t="s">
        <v>35</v>
      </c>
      <c r="F42" s="9">
        <v>60</v>
      </c>
      <c r="G42" s="5">
        <v>100</v>
      </c>
      <c r="H42" s="19">
        <f t="shared" si="3"/>
        <v>6000</v>
      </c>
      <c r="I42" s="19">
        <v>1218</v>
      </c>
      <c r="J42" s="19">
        <f t="shared" si="4"/>
        <v>4782</v>
      </c>
      <c r="K42" s="19">
        <f t="shared" si="5"/>
        <v>4782</v>
      </c>
    </row>
    <row r="43" spans="1:11" x14ac:dyDescent="0.45">
      <c r="A43" s="4">
        <v>45016</v>
      </c>
      <c r="B43" s="5" t="s">
        <v>50</v>
      </c>
      <c r="C43" s="5" t="s">
        <v>258</v>
      </c>
      <c r="D43" s="5">
        <v>7751</v>
      </c>
      <c r="E43" s="9" t="s">
        <v>35</v>
      </c>
      <c r="F43" s="9">
        <v>60</v>
      </c>
      <c r="G43" s="5">
        <v>100</v>
      </c>
      <c r="H43" s="19">
        <f t="shared" si="3"/>
        <v>6000</v>
      </c>
      <c r="I43" s="19">
        <v>0</v>
      </c>
      <c r="J43" s="19">
        <f t="shared" si="4"/>
        <v>6000</v>
      </c>
      <c r="K43" s="19">
        <f t="shared" si="5"/>
        <v>6000</v>
      </c>
    </row>
    <row r="44" spans="1:11" x14ac:dyDescent="0.45">
      <c r="A44" s="4">
        <v>45163</v>
      </c>
      <c r="B44" s="5" t="s">
        <v>50</v>
      </c>
      <c r="C44" s="5" t="s">
        <v>258</v>
      </c>
      <c r="D44" s="5">
        <v>7751</v>
      </c>
      <c r="E44" s="9" t="s">
        <v>35</v>
      </c>
      <c r="F44" s="9">
        <v>70</v>
      </c>
      <c r="G44" s="5">
        <v>100</v>
      </c>
      <c r="H44" s="19">
        <f t="shared" si="3"/>
        <v>7000</v>
      </c>
      <c r="I44" s="19">
        <v>0</v>
      </c>
      <c r="J44" s="19">
        <f t="shared" si="4"/>
        <v>7000</v>
      </c>
      <c r="K44" s="19">
        <f t="shared" si="5"/>
        <v>7000</v>
      </c>
    </row>
    <row r="45" spans="1:11" x14ac:dyDescent="0.45">
      <c r="A45" s="4">
        <v>45380</v>
      </c>
      <c r="B45" s="5" t="s">
        <v>50</v>
      </c>
      <c r="C45" s="5" t="s">
        <v>258</v>
      </c>
      <c r="D45" s="5">
        <v>7751</v>
      </c>
      <c r="E45" s="9" t="s">
        <v>35</v>
      </c>
      <c r="F45" s="9">
        <v>70</v>
      </c>
      <c r="G45" s="5">
        <v>100</v>
      </c>
      <c r="H45" s="19">
        <f t="shared" si="3"/>
        <v>7000</v>
      </c>
      <c r="I45" s="19">
        <v>0</v>
      </c>
      <c r="J45" s="19">
        <f t="shared" si="4"/>
        <v>7000</v>
      </c>
      <c r="K45" s="19">
        <f t="shared" si="5"/>
        <v>7000</v>
      </c>
    </row>
    <row r="46" spans="1:11" x14ac:dyDescent="0.45">
      <c r="A46" s="4">
        <v>45530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75</v>
      </c>
      <c r="G46" s="5">
        <v>100</v>
      </c>
      <c r="H46" s="19">
        <f t="shared" si="3"/>
        <v>7500</v>
      </c>
      <c r="I46" s="19">
        <v>0</v>
      </c>
      <c r="J46" s="19">
        <f t="shared" si="4"/>
        <v>7500</v>
      </c>
      <c r="K46" s="19">
        <f t="shared" si="5"/>
        <v>7500</v>
      </c>
    </row>
    <row r="47" spans="1:11" x14ac:dyDescent="0.45">
      <c r="A47" s="4">
        <v>44371</v>
      </c>
      <c r="B47" s="5" t="s">
        <v>50</v>
      </c>
      <c r="C47" s="5" t="s">
        <v>258</v>
      </c>
      <c r="D47" s="5">
        <v>7867</v>
      </c>
      <c r="E47" s="9" t="s">
        <v>40</v>
      </c>
      <c r="F47" s="9">
        <v>10</v>
      </c>
      <c r="G47" s="5">
        <v>100</v>
      </c>
      <c r="H47" s="19">
        <f t="shared" si="3"/>
        <v>1000</v>
      </c>
      <c r="I47" s="19">
        <v>0</v>
      </c>
      <c r="J47" s="19">
        <f t="shared" si="4"/>
        <v>1000</v>
      </c>
      <c r="K47" s="19">
        <f t="shared" si="5"/>
        <v>1000</v>
      </c>
    </row>
    <row r="48" spans="1:11" x14ac:dyDescent="0.45">
      <c r="A48" s="4">
        <v>45747</v>
      </c>
      <c r="B48" s="5" t="s">
        <v>50</v>
      </c>
      <c r="C48" s="5" t="s">
        <v>257</v>
      </c>
      <c r="D48" s="5">
        <v>7984</v>
      </c>
      <c r="E48" s="6" t="s">
        <v>259</v>
      </c>
      <c r="F48" s="9">
        <v>39</v>
      </c>
      <c r="G48" s="5">
        <v>100</v>
      </c>
      <c r="H48" s="19">
        <f t="shared" si="3"/>
        <v>3900</v>
      </c>
      <c r="I48" s="19">
        <v>0</v>
      </c>
      <c r="J48" s="19">
        <f t="shared" si="4"/>
        <v>3900</v>
      </c>
      <c r="K48" s="19">
        <f t="shared" si="5"/>
        <v>3900</v>
      </c>
    </row>
    <row r="49" spans="1:11" x14ac:dyDescent="0.45">
      <c r="A49" s="4">
        <v>45817</v>
      </c>
      <c r="B49" s="5" t="s">
        <v>50</v>
      </c>
      <c r="C49" s="5" t="s">
        <v>257</v>
      </c>
      <c r="D49" s="5">
        <v>8593</v>
      </c>
      <c r="E49" s="6" t="s">
        <v>189</v>
      </c>
      <c r="F49" s="9">
        <v>20</v>
      </c>
      <c r="G49" s="5">
        <v>300</v>
      </c>
      <c r="H49" s="19">
        <f t="shared" si="3"/>
        <v>6000</v>
      </c>
      <c r="I49" s="19">
        <v>0</v>
      </c>
      <c r="J49" s="19">
        <f t="shared" si="4"/>
        <v>6000</v>
      </c>
      <c r="K49" s="19">
        <f t="shared" si="5"/>
        <v>6000</v>
      </c>
    </row>
    <row r="50" spans="1:11" x14ac:dyDescent="0.45">
      <c r="A50" s="4">
        <v>45996</v>
      </c>
      <c r="B50" s="5" t="s">
        <v>50</v>
      </c>
      <c r="C50" s="5" t="s">
        <v>257</v>
      </c>
      <c r="D50" s="5">
        <v>8593</v>
      </c>
      <c r="E50" s="6" t="s">
        <v>189</v>
      </c>
      <c r="F50" s="9">
        <v>22</v>
      </c>
      <c r="G50" s="5">
        <v>300</v>
      </c>
      <c r="H50" s="19">
        <f t="shared" si="3"/>
        <v>6600</v>
      </c>
      <c r="I50" s="19">
        <v>0</v>
      </c>
      <c r="J50" s="19">
        <f t="shared" si="4"/>
        <v>6600</v>
      </c>
      <c r="K50" s="19">
        <f t="shared" si="5"/>
        <v>6600</v>
      </c>
    </row>
    <row r="51" spans="1:11" x14ac:dyDescent="0.45">
      <c r="A51" s="4">
        <v>45104</v>
      </c>
      <c r="B51" s="5" t="s">
        <v>50</v>
      </c>
      <c r="C51" s="5" t="s">
        <v>258</v>
      </c>
      <c r="D51" s="5">
        <v>8766</v>
      </c>
      <c r="E51" s="9" t="s">
        <v>44</v>
      </c>
      <c r="F51" s="9">
        <v>50</v>
      </c>
      <c r="G51" s="5">
        <v>100</v>
      </c>
      <c r="H51" s="19">
        <f t="shared" si="3"/>
        <v>5000</v>
      </c>
      <c r="I51" s="19">
        <v>0</v>
      </c>
      <c r="J51" s="19">
        <f t="shared" si="4"/>
        <v>5000</v>
      </c>
      <c r="K51" s="19">
        <f t="shared" si="5"/>
        <v>5000</v>
      </c>
    </row>
    <row r="52" spans="1:11" x14ac:dyDescent="0.45">
      <c r="A52" s="4">
        <v>45463</v>
      </c>
      <c r="B52" s="5" t="s">
        <v>50</v>
      </c>
      <c r="C52" s="5" t="s">
        <v>257</v>
      </c>
      <c r="D52" s="5">
        <v>9433</v>
      </c>
      <c r="E52" s="9" t="s">
        <v>71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45999</v>
      </c>
      <c r="B53" s="5" t="s">
        <v>50</v>
      </c>
      <c r="C53" s="5" t="s">
        <v>257</v>
      </c>
      <c r="D53" s="5">
        <v>9433</v>
      </c>
      <c r="E53" s="9" t="s">
        <v>71</v>
      </c>
      <c r="F53" s="9">
        <v>40</v>
      </c>
      <c r="G53" s="5">
        <v>100</v>
      </c>
      <c r="H53" s="19">
        <f t="shared" si="3"/>
        <v>4000</v>
      </c>
      <c r="I53" s="19">
        <v>0</v>
      </c>
      <c r="J53" s="19">
        <f t="shared" si="4"/>
        <v>4000</v>
      </c>
      <c r="K53" s="19">
        <f t="shared" si="5"/>
        <v>4000</v>
      </c>
    </row>
    <row r="54" spans="1:11" x14ac:dyDescent="0.45">
      <c r="A54" s="4">
        <v>45904</v>
      </c>
      <c r="B54" s="5" t="s">
        <v>50</v>
      </c>
      <c r="C54" s="5" t="s">
        <v>257</v>
      </c>
      <c r="D54" s="5">
        <v>7984</v>
      </c>
      <c r="E54" s="6" t="s">
        <v>259</v>
      </c>
      <c r="F54" s="9">
        <v>46</v>
      </c>
      <c r="G54" s="5">
        <v>100</v>
      </c>
      <c r="H54" s="19">
        <f t="shared" si="3"/>
        <v>4600</v>
      </c>
      <c r="I54" s="19">
        <v>0</v>
      </c>
      <c r="J54" s="19">
        <f t="shared" si="4"/>
        <v>4600</v>
      </c>
      <c r="K54" s="19">
        <f t="shared" si="5"/>
        <v>4600</v>
      </c>
    </row>
    <row r="55" spans="1:11" x14ac:dyDescent="0.45">
      <c r="A55" s="4">
        <v>45908</v>
      </c>
      <c r="B55" s="5" t="s">
        <v>50</v>
      </c>
      <c r="C55" s="5" t="s">
        <v>258</v>
      </c>
      <c r="D55" s="5">
        <v>5201</v>
      </c>
      <c r="E55" s="6" t="s">
        <v>43</v>
      </c>
      <c r="F55" s="9">
        <v>105</v>
      </c>
      <c r="G55" s="5">
        <v>100</v>
      </c>
      <c r="H55" s="19">
        <f t="shared" si="3"/>
        <v>10500</v>
      </c>
      <c r="I55" s="19">
        <v>0</v>
      </c>
      <c r="J55" s="19">
        <f t="shared" ref="J55" si="6">H55-I55</f>
        <v>10500</v>
      </c>
      <c r="K55" s="19">
        <f t="shared" ref="K55" si="7">J55</f>
        <v>10500</v>
      </c>
    </row>
    <row r="56" spans="1:11" x14ac:dyDescent="0.45">
      <c r="A56" s="4">
        <v>45992</v>
      </c>
      <c r="B56" s="5" t="s">
        <v>50</v>
      </c>
      <c r="C56" s="5" t="s">
        <v>258</v>
      </c>
      <c r="D56" s="5">
        <v>4502</v>
      </c>
      <c r="E56" s="9" t="s">
        <v>42</v>
      </c>
      <c r="F56" s="9">
        <v>100</v>
      </c>
      <c r="G56" s="5">
        <v>100</v>
      </c>
      <c r="H56" s="19">
        <f t="shared" si="3"/>
        <v>10000</v>
      </c>
      <c r="I56" s="19">
        <v>0</v>
      </c>
      <c r="J56" s="19">
        <f t="shared" ref="J56:J59" si="8">H56-I56</f>
        <v>10000</v>
      </c>
      <c r="K56" s="19">
        <f t="shared" ref="K56:K59" si="9">J56</f>
        <v>10000</v>
      </c>
    </row>
    <row r="57" spans="1:11" x14ac:dyDescent="0.45">
      <c r="A57" s="4">
        <v>45992</v>
      </c>
      <c r="B57" s="5" t="s">
        <v>50</v>
      </c>
      <c r="C57" s="5" t="s">
        <v>257</v>
      </c>
      <c r="D57" s="5">
        <v>4502</v>
      </c>
      <c r="E57" s="9" t="s">
        <v>42</v>
      </c>
      <c r="F57" s="9">
        <v>100</v>
      </c>
      <c r="G57" s="5">
        <v>100</v>
      </c>
      <c r="H57" s="19">
        <f t="shared" si="3"/>
        <v>10000</v>
      </c>
      <c r="I57" s="19">
        <v>0</v>
      </c>
      <c r="J57" s="19">
        <f t="shared" si="8"/>
        <v>10000</v>
      </c>
      <c r="K57" s="19">
        <f t="shared" si="9"/>
        <v>10000</v>
      </c>
    </row>
    <row r="58" spans="1:11" x14ac:dyDescent="0.45">
      <c r="A58" s="4">
        <v>45992</v>
      </c>
      <c r="B58" s="5" t="s">
        <v>50</v>
      </c>
      <c r="C58" s="5" t="s">
        <v>257</v>
      </c>
      <c r="D58" s="5">
        <v>4204</v>
      </c>
      <c r="E58" s="9" t="s">
        <v>300</v>
      </c>
      <c r="F58" s="9">
        <v>40</v>
      </c>
      <c r="G58" s="5">
        <v>500</v>
      </c>
      <c r="H58" s="19">
        <f t="shared" si="3"/>
        <v>20000</v>
      </c>
      <c r="I58" s="19">
        <v>0</v>
      </c>
      <c r="J58" s="19">
        <f t="shared" si="8"/>
        <v>20000</v>
      </c>
      <c r="K58" s="19">
        <f t="shared" si="9"/>
        <v>20000</v>
      </c>
    </row>
    <row r="59" spans="1:11" x14ac:dyDescent="0.45">
      <c r="A59" s="4">
        <v>46003</v>
      </c>
      <c r="B59" s="5" t="s">
        <v>50</v>
      </c>
      <c r="C59" s="5" t="s">
        <v>257</v>
      </c>
      <c r="D59" s="5">
        <v>4732</v>
      </c>
      <c r="E59" s="6" t="s">
        <v>331</v>
      </c>
      <c r="F59" s="9">
        <v>252</v>
      </c>
      <c r="G59" s="5">
        <v>100</v>
      </c>
      <c r="H59" s="19">
        <f t="shared" si="3"/>
        <v>25200</v>
      </c>
      <c r="I59" s="19">
        <v>0</v>
      </c>
      <c r="J59" s="19">
        <f t="shared" si="8"/>
        <v>25200</v>
      </c>
      <c r="K59" s="19">
        <f t="shared" si="9"/>
        <v>25200</v>
      </c>
    </row>
  </sheetData>
  <autoFilter ref="A1:K16" xr:uid="{00000000-0009-0000-0000-000001000000}">
    <sortState xmlns:xlrd2="http://schemas.microsoft.com/office/spreadsheetml/2017/richdata2" ref="A2:K50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829"/>
  <sheetViews>
    <sheetView zoomScale="80" zoomScaleNormal="80" workbookViewId="0">
      <pane xSplit="4" ySplit="1" topLeftCell="E813" activePane="bottomRight" state="frozen"/>
      <selection pane="topRight" activeCell="E1" sqref="E1"/>
      <selection pane="bottomLeft" activeCell="A2" sqref="A2"/>
      <selection pane="bottomRight" activeCell="D817" sqref="D817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187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187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187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187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187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187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187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187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29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</sheetData>
  <autoFilter ref="A1:N814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84"/>
  <sheetViews>
    <sheetView zoomScale="90" zoomScaleNormal="90" workbookViewId="0">
      <pane ySplit="1" topLeftCell="A69" activePane="bottomLeft" state="frozen"/>
      <selection activeCell="F1" sqref="F1"/>
      <selection pane="bottomLeft" activeCell="C73" sqref="C73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4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84" si="16">H80-I80</f>
        <v>4782</v>
      </c>
      <c r="K80" s="19">
        <f t="shared" ref="K80:K8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67"/>
  <sheetViews>
    <sheetView zoomScale="80" zoomScaleNormal="80" workbookViewId="0">
      <pane xSplit="4" ySplit="1" topLeftCell="K45" activePane="bottomRight" state="frozen"/>
      <selection pane="topRight" activeCell="E1" sqref="E1"/>
      <selection pane="bottomLeft" activeCell="A2" sqref="A2"/>
      <selection pane="bottomRight" activeCell="Z67" sqref="Z67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67"/>
  <sheetViews>
    <sheetView tabSelected="1" zoomScale="90" zoomScaleNormal="90" workbookViewId="0">
      <pane xSplit="3" ySplit="1" topLeftCell="D11" activePane="bottomRight" state="frozen"/>
      <selection pane="topRight" activeCell="D1" sqref="D1"/>
      <selection pane="bottomLeft" activeCell="A2" sqref="A2"/>
      <selection pane="bottomRight" activeCell="J26" sqref="J26:J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7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45945</v>
      </c>
      <c r="B26" s="4">
        <v>45950</v>
      </c>
      <c r="C26" s="9" t="s">
        <v>377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40242</v>
      </c>
      <c r="I26" s="21">
        <v>17395</v>
      </c>
      <c r="J26" s="21">
        <v>70000</v>
      </c>
      <c r="K26" s="21">
        <v>0</v>
      </c>
    </row>
    <row r="27" spans="1:11" x14ac:dyDescent="0.45">
      <c r="A27" s="4">
        <v>45974</v>
      </c>
      <c r="B27" s="4">
        <v>45979</v>
      </c>
      <c r="C27" s="9" t="s">
        <v>377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38038</v>
      </c>
      <c r="I27" s="21">
        <v>18403</v>
      </c>
      <c r="J27" s="21">
        <v>70000</v>
      </c>
      <c r="K27" s="21">
        <v>0</v>
      </c>
    </row>
    <row r="28" spans="1:11" x14ac:dyDescent="0.45">
      <c r="A28" s="4">
        <v>46006</v>
      </c>
      <c r="B28" s="4">
        <v>46009</v>
      </c>
      <c r="C28" s="9" t="s">
        <v>377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37910</v>
      </c>
      <c r="I28" s="21">
        <v>18465</v>
      </c>
      <c r="J28" s="21">
        <v>70000</v>
      </c>
      <c r="K28" s="21">
        <v>0</v>
      </c>
    </row>
    <row r="29" spans="1:11" x14ac:dyDescent="0.45">
      <c r="A29" s="4">
        <v>46036</v>
      </c>
      <c r="B29" s="4">
        <v>46041</v>
      </c>
      <c r="C29" s="9" t="s">
        <v>377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35338</v>
      </c>
      <c r="I29" s="21">
        <v>19809</v>
      </c>
      <c r="J29" s="21">
        <v>70000</v>
      </c>
      <c r="K29" s="21">
        <v>0</v>
      </c>
    </row>
    <row r="30" spans="1:11" x14ac:dyDescent="0.45">
      <c r="A30" s="4">
        <v>46066</v>
      </c>
      <c r="B30" s="4">
        <v>46071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34978</v>
      </c>
      <c r="I30" s="21">
        <v>20013</v>
      </c>
      <c r="J30" s="21">
        <v>70000</v>
      </c>
      <c r="K30" s="21">
        <v>0</v>
      </c>
    </row>
    <row r="31" spans="1:11" x14ac:dyDescent="0.45">
      <c r="A31" s="4">
        <v>44368</v>
      </c>
      <c r="B31" s="4">
        <v>44371</v>
      </c>
      <c r="C31" s="9" t="s">
        <v>163</v>
      </c>
      <c r="D31" s="5" t="s">
        <v>159</v>
      </c>
      <c r="E31" s="5" t="s">
        <v>295</v>
      </c>
      <c r="F31" s="5" t="s">
        <v>30</v>
      </c>
      <c r="G31" s="5" t="s">
        <v>160</v>
      </c>
      <c r="H31" s="8">
        <v>21735</v>
      </c>
      <c r="I31" s="8">
        <v>13803</v>
      </c>
      <c r="J31" s="8">
        <v>30000</v>
      </c>
      <c r="K31" s="21">
        <v>0</v>
      </c>
    </row>
    <row r="32" spans="1:11" x14ac:dyDescent="0.45">
      <c r="A32" s="4">
        <v>44377</v>
      </c>
      <c r="B32" s="4">
        <v>44382</v>
      </c>
      <c r="C32" s="9" t="s">
        <v>163</v>
      </c>
      <c r="D32" s="5" t="s">
        <v>159</v>
      </c>
      <c r="E32" s="5" t="s">
        <v>295</v>
      </c>
      <c r="F32" s="5" t="s">
        <v>30</v>
      </c>
      <c r="G32" s="5" t="s">
        <v>160</v>
      </c>
      <c r="H32" s="8">
        <v>7034</v>
      </c>
      <c r="I32" s="8">
        <v>14217</v>
      </c>
      <c r="J32" s="8">
        <v>10000</v>
      </c>
      <c r="K32" s="21">
        <v>0</v>
      </c>
    </row>
    <row r="33" spans="1:11" x14ac:dyDescent="0.45">
      <c r="A33" s="4">
        <v>44529</v>
      </c>
      <c r="B33" s="4">
        <v>44532</v>
      </c>
      <c r="C33" s="9" t="s">
        <v>163</v>
      </c>
      <c r="D33" s="5" t="s">
        <v>159</v>
      </c>
      <c r="E33" s="5" t="s">
        <v>295</v>
      </c>
      <c r="F33" s="5" t="s">
        <v>298</v>
      </c>
      <c r="G33" s="5"/>
      <c r="H33" s="8">
        <v>28769</v>
      </c>
      <c r="I33" s="8">
        <v>13383</v>
      </c>
      <c r="J33" s="8">
        <v>38502</v>
      </c>
      <c r="K33" s="19">
        <v>-1498</v>
      </c>
    </row>
    <row r="34" spans="1:11" x14ac:dyDescent="0.45">
      <c r="A34" s="4">
        <v>44403</v>
      </c>
      <c r="B34" s="4">
        <v>44406</v>
      </c>
      <c r="C34" s="9" t="s">
        <v>163</v>
      </c>
      <c r="D34" s="5" t="s">
        <v>159</v>
      </c>
      <c r="E34" s="5" t="s">
        <v>67</v>
      </c>
      <c r="F34" s="5" t="s">
        <v>30</v>
      </c>
      <c r="G34" s="5" t="s">
        <v>160</v>
      </c>
      <c r="H34" s="8">
        <v>7310</v>
      </c>
      <c r="I34" s="8">
        <v>13681</v>
      </c>
      <c r="J34" s="8">
        <v>10000</v>
      </c>
      <c r="K34" s="21">
        <v>0</v>
      </c>
    </row>
    <row r="35" spans="1:11" x14ac:dyDescent="0.45">
      <c r="A35" s="4">
        <v>44525</v>
      </c>
      <c r="B35" s="4">
        <v>44530</v>
      </c>
      <c r="C35" s="9" t="s">
        <v>163</v>
      </c>
      <c r="D35" s="5" t="s">
        <v>159</v>
      </c>
      <c r="E35" s="5" t="s">
        <v>67</v>
      </c>
      <c r="F35" s="5" t="s">
        <v>298</v>
      </c>
      <c r="G35" s="5"/>
      <c r="H35" s="8">
        <v>7310</v>
      </c>
      <c r="I35" s="8">
        <v>13973</v>
      </c>
      <c r="J35" s="8">
        <v>10214</v>
      </c>
      <c r="K35" s="19">
        <v>214</v>
      </c>
    </row>
    <row r="36" spans="1:11" x14ac:dyDescent="0.45">
      <c r="A36" s="4">
        <v>44165</v>
      </c>
      <c r="B36" s="4">
        <v>44168</v>
      </c>
      <c r="C36" s="9" t="s">
        <v>158</v>
      </c>
      <c r="D36" s="5" t="s">
        <v>159</v>
      </c>
      <c r="E36" s="5" t="s">
        <v>295</v>
      </c>
      <c r="F36" s="5" t="s">
        <v>30</v>
      </c>
      <c r="G36" s="5" t="s">
        <v>160</v>
      </c>
      <c r="H36" s="8">
        <v>3846</v>
      </c>
      <c r="I36" s="8">
        <v>13000</v>
      </c>
      <c r="J36" s="8">
        <v>5000</v>
      </c>
      <c r="K36" s="21">
        <v>0</v>
      </c>
    </row>
    <row r="37" spans="1:11" x14ac:dyDescent="0.45">
      <c r="A37" s="4">
        <v>44201</v>
      </c>
      <c r="B37" s="4">
        <v>44204</v>
      </c>
      <c r="C37" s="9" t="s">
        <v>158</v>
      </c>
      <c r="D37" s="5" t="s">
        <v>159</v>
      </c>
      <c r="E37" s="5" t="s">
        <v>295</v>
      </c>
      <c r="F37" s="5" t="s">
        <v>30</v>
      </c>
      <c r="G37" s="5" t="s">
        <v>160</v>
      </c>
      <c r="H37" s="8">
        <v>7604</v>
      </c>
      <c r="I37" s="8">
        <v>13152</v>
      </c>
      <c r="J37" s="8">
        <v>10000</v>
      </c>
      <c r="K37" s="21">
        <v>0</v>
      </c>
    </row>
    <row r="38" spans="1:11" x14ac:dyDescent="0.45">
      <c r="A38" s="4">
        <v>44236</v>
      </c>
      <c r="B38" s="4">
        <v>44242</v>
      </c>
      <c r="C38" s="9" t="s">
        <v>158</v>
      </c>
      <c r="D38" s="5" t="s">
        <v>159</v>
      </c>
      <c r="E38" s="5" t="s">
        <v>295</v>
      </c>
      <c r="F38" s="5" t="s">
        <v>30</v>
      </c>
      <c r="G38" s="5" t="s">
        <v>160</v>
      </c>
      <c r="H38" s="8">
        <v>7041</v>
      </c>
      <c r="I38" s="8">
        <v>14202</v>
      </c>
      <c r="J38" s="8">
        <v>10000</v>
      </c>
      <c r="K38" s="21">
        <v>0</v>
      </c>
    </row>
    <row r="39" spans="1:11" x14ac:dyDescent="0.45">
      <c r="A39" s="4">
        <v>44257</v>
      </c>
      <c r="B39" s="4">
        <v>44260</v>
      </c>
      <c r="C39" s="9" t="s">
        <v>158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6947</v>
      </c>
      <c r="I39" s="8">
        <v>14394</v>
      </c>
      <c r="J39" s="8">
        <v>10000</v>
      </c>
      <c r="K39" s="21">
        <v>0</v>
      </c>
    </row>
    <row r="40" spans="1:11" x14ac:dyDescent="0.45">
      <c r="A40" s="4">
        <v>44295</v>
      </c>
      <c r="B40" s="4">
        <v>44300</v>
      </c>
      <c r="C40" s="9" t="s">
        <v>158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6460</v>
      </c>
      <c r="I40" s="8">
        <v>15481</v>
      </c>
      <c r="J40" s="8">
        <v>10000</v>
      </c>
      <c r="K40" s="21">
        <v>0</v>
      </c>
    </row>
    <row r="41" spans="1:11" x14ac:dyDescent="0.45">
      <c r="A41" s="4">
        <v>44327</v>
      </c>
      <c r="B41" s="4">
        <v>44330</v>
      </c>
      <c r="C41" s="9" t="s">
        <v>158</v>
      </c>
      <c r="D41" s="5" t="s">
        <v>159</v>
      </c>
      <c r="E41" s="5" t="s">
        <v>295</v>
      </c>
      <c r="F41" s="5" t="s">
        <v>30</v>
      </c>
      <c r="G41" s="5" t="s">
        <v>160</v>
      </c>
      <c r="H41" s="8">
        <v>3167</v>
      </c>
      <c r="I41" s="8">
        <v>15789</v>
      </c>
      <c r="J41" s="8">
        <v>5000</v>
      </c>
      <c r="K41" s="21">
        <v>0</v>
      </c>
    </row>
    <row r="42" spans="1:11" x14ac:dyDescent="0.45">
      <c r="A42" s="4">
        <v>44350</v>
      </c>
      <c r="B42" s="4">
        <v>44355</v>
      </c>
      <c r="C42" s="9" t="s">
        <v>158</v>
      </c>
      <c r="D42" s="5" t="s">
        <v>159</v>
      </c>
      <c r="E42" s="5" t="s">
        <v>295</v>
      </c>
      <c r="F42" s="5" t="s">
        <v>30</v>
      </c>
      <c r="G42" s="5" t="s">
        <v>160</v>
      </c>
      <c r="H42" s="8">
        <v>6263</v>
      </c>
      <c r="I42" s="8">
        <v>15967</v>
      </c>
      <c r="J42" s="8">
        <v>10000</v>
      </c>
      <c r="K42" s="21">
        <v>0</v>
      </c>
    </row>
    <row r="43" spans="1:11" x14ac:dyDescent="0.45">
      <c r="A43" s="4">
        <v>44377</v>
      </c>
      <c r="B43" s="4">
        <v>44382</v>
      </c>
      <c r="C43" s="9" t="s">
        <v>158</v>
      </c>
      <c r="D43" s="5" t="s">
        <v>159</v>
      </c>
      <c r="E43" s="5" t="s">
        <v>295</v>
      </c>
      <c r="F43" s="5" t="s">
        <v>30</v>
      </c>
      <c r="G43" s="5" t="s">
        <v>160</v>
      </c>
      <c r="H43" s="8">
        <v>6081</v>
      </c>
      <c r="I43" s="8">
        <v>16444</v>
      </c>
      <c r="J43" s="8">
        <v>10000</v>
      </c>
      <c r="K43" s="21">
        <v>0</v>
      </c>
    </row>
    <row r="44" spans="1:11" x14ac:dyDescent="0.45">
      <c r="A44" s="4">
        <v>44921</v>
      </c>
      <c r="B44" s="4">
        <v>44924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24940</v>
      </c>
      <c r="I44" s="8">
        <v>17961</v>
      </c>
      <c r="J44" s="8">
        <v>44794</v>
      </c>
      <c r="K44" s="21">
        <v>0</v>
      </c>
    </row>
    <row r="45" spans="1:11" x14ac:dyDescent="0.45">
      <c r="A45" s="4">
        <v>45243</v>
      </c>
      <c r="B45" s="4">
        <v>45246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590</v>
      </c>
      <c r="I45" s="8">
        <v>23925</v>
      </c>
      <c r="J45" s="8">
        <v>1410</v>
      </c>
      <c r="K45" s="21">
        <v>0</v>
      </c>
    </row>
    <row r="46" spans="1:11" x14ac:dyDescent="0.45">
      <c r="A46" s="4">
        <v>45656</v>
      </c>
      <c r="B46" s="4">
        <v>45663</v>
      </c>
      <c r="C46" s="9" t="s">
        <v>158</v>
      </c>
      <c r="D46" s="5" t="s">
        <v>159</v>
      </c>
      <c r="E46" s="5" t="s">
        <v>295</v>
      </c>
      <c r="F46" s="5" t="s">
        <v>289</v>
      </c>
      <c r="G46" s="5"/>
      <c r="H46" s="21">
        <v>3846</v>
      </c>
      <c r="I46" s="9"/>
      <c r="J46" s="9">
        <v>0</v>
      </c>
      <c r="K46" s="21">
        <v>0</v>
      </c>
    </row>
    <row r="47" spans="1:11" x14ac:dyDescent="0.45">
      <c r="A47" s="4">
        <v>45772</v>
      </c>
      <c r="B47" s="4">
        <v>45778</v>
      </c>
      <c r="C47" s="9" t="s">
        <v>158</v>
      </c>
      <c r="D47" s="5" t="s">
        <v>159</v>
      </c>
      <c r="E47" s="5" t="s">
        <v>295</v>
      </c>
      <c r="F47" s="5" t="s">
        <v>298</v>
      </c>
      <c r="G47" s="5"/>
      <c r="H47" s="21">
        <v>69093</v>
      </c>
      <c r="I47" s="19">
        <v>28502</v>
      </c>
      <c r="J47" s="19">
        <v>196929</v>
      </c>
      <c r="K47" s="21">
        <v>86850</v>
      </c>
    </row>
    <row r="48" spans="1:11" x14ac:dyDescent="0.45">
      <c r="A48" s="4">
        <v>44404</v>
      </c>
      <c r="B48" s="4">
        <v>44407</v>
      </c>
      <c r="C48" s="9" t="s">
        <v>158</v>
      </c>
      <c r="D48" s="5" t="s">
        <v>159</v>
      </c>
      <c r="E48" s="5" t="s">
        <v>67</v>
      </c>
      <c r="F48" s="5" t="s">
        <v>30</v>
      </c>
      <c r="G48" s="5" t="s">
        <v>160</v>
      </c>
      <c r="H48" s="8">
        <v>11832</v>
      </c>
      <c r="I48" s="8">
        <v>16903</v>
      </c>
      <c r="J48" s="8">
        <v>20000</v>
      </c>
      <c r="K48" s="21">
        <v>0</v>
      </c>
    </row>
    <row r="49" spans="1:11" x14ac:dyDescent="0.45">
      <c r="A49" s="4">
        <v>44435</v>
      </c>
      <c r="B49" s="4">
        <v>44440</v>
      </c>
      <c r="C49" s="9" t="s">
        <v>158</v>
      </c>
      <c r="D49" s="5" t="s">
        <v>159</v>
      </c>
      <c r="E49" s="5" t="s">
        <v>67</v>
      </c>
      <c r="F49" s="5" t="s">
        <v>298</v>
      </c>
      <c r="G49" s="5"/>
      <c r="H49" s="8">
        <v>11832</v>
      </c>
      <c r="I49" s="8">
        <v>17067</v>
      </c>
      <c r="J49" s="8">
        <v>20194</v>
      </c>
      <c r="K49" s="19">
        <v>194</v>
      </c>
    </row>
    <row r="50" spans="1:11" x14ac:dyDescent="0.45">
      <c r="A50" s="4">
        <v>45656</v>
      </c>
      <c r="B50" s="4">
        <v>45663</v>
      </c>
      <c r="C50" s="9" t="s">
        <v>158</v>
      </c>
      <c r="D50" s="5" t="s">
        <v>159</v>
      </c>
      <c r="E50" s="5" t="s">
        <v>294</v>
      </c>
      <c r="F50" s="5" t="s">
        <v>296</v>
      </c>
      <c r="G50" s="5"/>
      <c r="H50" s="21">
        <v>3846</v>
      </c>
      <c r="I50" s="9"/>
      <c r="J50" s="9">
        <v>0</v>
      </c>
      <c r="K50" s="21">
        <v>0</v>
      </c>
    </row>
    <row r="51" spans="1:11" x14ac:dyDescent="0.45">
      <c r="A51" s="4">
        <v>45824</v>
      </c>
      <c r="B51" s="4">
        <v>45827</v>
      </c>
      <c r="C51" s="9" t="s">
        <v>158</v>
      </c>
      <c r="D51" s="5" t="s">
        <v>159</v>
      </c>
      <c r="E51" s="5" t="s">
        <v>68</v>
      </c>
      <c r="F51" s="5" t="s">
        <v>298</v>
      </c>
      <c r="G51" s="5"/>
      <c r="H51" s="21">
        <v>3846</v>
      </c>
      <c r="I51" s="19">
        <v>31398</v>
      </c>
      <c r="J51" s="19">
        <v>12076</v>
      </c>
      <c r="K51" s="21">
        <v>-1071</v>
      </c>
    </row>
    <row r="52" spans="1:11" x14ac:dyDescent="0.45">
      <c r="A52" s="4">
        <v>44188</v>
      </c>
      <c r="B52" s="4">
        <v>44193</v>
      </c>
      <c r="C52" s="9" t="s">
        <v>162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4490</v>
      </c>
      <c r="I52" s="8">
        <v>22273</v>
      </c>
      <c r="J52" s="8">
        <v>10000</v>
      </c>
      <c r="K52" s="21">
        <v>0</v>
      </c>
    </row>
    <row r="53" spans="1:11" x14ac:dyDescent="0.45">
      <c r="A53" s="4">
        <v>44224</v>
      </c>
      <c r="B53" s="4">
        <v>44229</v>
      </c>
      <c r="C53" s="9" t="s">
        <v>162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2108</v>
      </c>
      <c r="I53" s="8">
        <v>23721</v>
      </c>
      <c r="J53" s="8">
        <v>5000</v>
      </c>
      <c r="K53" s="21">
        <v>0</v>
      </c>
    </row>
    <row r="54" spans="1:11" x14ac:dyDescent="0.45">
      <c r="A54" s="4">
        <v>44257</v>
      </c>
      <c r="B54" s="4">
        <v>44260</v>
      </c>
      <c r="C54" s="9" t="s">
        <v>162</v>
      </c>
      <c r="D54" s="5" t="s">
        <v>159</v>
      </c>
      <c r="E54" s="5" t="s">
        <v>295</v>
      </c>
      <c r="F54" s="5" t="s">
        <v>30</v>
      </c>
      <c r="G54" s="5" t="s">
        <v>160</v>
      </c>
      <c r="H54" s="8">
        <v>1938</v>
      </c>
      <c r="I54" s="8">
        <v>25804</v>
      </c>
      <c r="J54" s="8">
        <v>5000</v>
      </c>
      <c r="K54" s="21">
        <v>0</v>
      </c>
    </row>
    <row r="55" spans="1:11" x14ac:dyDescent="0.45">
      <c r="A55" s="4">
        <v>44295</v>
      </c>
      <c r="B55" s="4">
        <v>44300</v>
      </c>
      <c r="C55" s="9" t="s">
        <v>162</v>
      </c>
      <c r="D55" s="5" t="s">
        <v>159</v>
      </c>
      <c r="E55" s="5" t="s">
        <v>295</v>
      </c>
      <c r="F55" s="5" t="s">
        <v>30</v>
      </c>
      <c r="G55" s="5" t="s">
        <v>160</v>
      </c>
      <c r="H55" s="8">
        <v>1920</v>
      </c>
      <c r="I55" s="8">
        <v>26043</v>
      </c>
      <c r="J55" s="8">
        <v>5000</v>
      </c>
      <c r="K55" s="21">
        <v>0</v>
      </c>
    </row>
    <row r="56" spans="1:11" x14ac:dyDescent="0.45">
      <c r="A56" s="4">
        <v>44327</v>
      </c>
      <c r="B56" s="4">
        <v>44330</v>
      </c>
      <c r="C56" s="9" t="s">
        <v>162</v>
      </c>
      <c r="D56" s="5" t="s">
        <v>159</v>
      </c>
      <c r="E56" s="5" t="s">
        <v>295</v>
      </c>
      <c r="F56" s="5" t="s">
        <v>30</v>
      </c>
      <c r="G56" s="5" t="s">
        <v>160</v>
      </c>
      <c r="H56" s="8">
        <v>4166</v>
      </c>
      <c r="I56" s="8">
        <v>24007</v>
      </c>
      <c r="J56" s="8">
        <v>10000</v>
      </c>
      <c r="K56" s="21">
        <v>0</v>
      </c>
    </row>
    <row r="57" spans="1:11" x14ac:dyDescent="0.45">
      <c r="A57" s="4">
        <v>44350</v>
      </c>
      <c r="B57" s="4">
        <v>44355</v>
      </c>
      <c r="C57" s="9" t="s">
        <v>162</v>
      </c>
      <c r="D57" s="5" t="s">
        <v>159</v>
      </c>
      <c r="E57" s="5" t="s">
        <v>295</v>
      </c>
      <c r="F57" s="5" t="s">
        <v>30</v>
      </c>
      <c r="G57" s="5" t="s">
        <v>160</v>
      </c>
      <c r="H57" s="8">
        <v>1983</v>
      </c>
      <c r="I57" s="8">
        <v>25216</v>
      </c>
      <c r="J57" s="8">
        <v>5000</v>
      </c>
      <c r="K57" s="21">
        <v>0</v>
      </c>
    </row>
    <row r="58" spans="1:11" x14ac:dyDescent="0.45">
      <c r="A58" s="4">
        <v>44362</v>
      </c>
      <c r="B58" s="4">
        <v>44365</v>
      </c>
      <c r="C58" s="9" t="s">
        <v>162</v>
      </c>
      <c r="D58" s="5" t="s">
        <v>159</v>
      </c>
      <c r="E58" s="5" t="s">
        <v>295</v>
      </c>
      <c r="F58" s="5" t="s">
        <v>298</v>
      </c>
      <c r="G58" s="5"/>
      <c r="H58" s="8">
        <v>16605</v>
      </c>
      <c r="I58" s="8">
        <v>26019</v>
      </c>
      <c r="J58" s="8">
        <v>43205</v>
      </c>
      <c r="K58" s="19">
        <v>3205</v>
      </c>
    </row>
    <row r="59" spans="1:11" x14ac:dyDescent="0.45">
      <c r="A59" s="4">
        <v>44187</v>
      </c>
      <c r="B59" s="4">
        <v>44190</v>
      </c>
      <c r="C59" s="9" t="s">
        <v>161</v>
      </c>
      <c r="D59" s="5" t="s">
        <v>159</v>
      </c>
      <c r="E59" s="5" t="s">
        <v>295</v>
      </c>
      <c r="F59" s="5" t="s">
        <v>30</v>
      </c>
      <c r="G59" s="5" t="s">
        <v>160</v>
      </c>
      <c r="H59" s="8">
        <v>6447</v>
      </c>
      <c r="I59" s="8">
        <v>15511</v>
      </c>
      <c r="J59" s="8">
        <v>10000</v>
      </c>
      <c r="K59" s="19">
        <v>0</v>
      </c>
    </row>
    <row r="60" spans="1:11" x14ac:dyDescent="0.45">
      <c r="A60" s="4">
        <v>44224</v>
      </c>
      <c r="B60" s="4">
        <v>44229</v>
      </c>
      <c r="C60" s="9" t="s">
        <v>161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3093</v>
      </c>
      <c r="I60" s="8">
        <v>16167</v>
      </c>
      <c r="J60" s="8">
        <v>5000</v>
      </c>
      <c r="K60" s="19">
        <v>0</v>
      </c>
    </row>
    <row r="61" spans="1:11" x14ac:dyDescent="0.45">
      <c r="A61" s="4">
        <v>44257</v>
      </c>
      <c r="B61" s="4">
        <v>44260</v>
      </c>
      <c r="C61" s="9" t="s">
        <v>161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2978</v>
      </c>
      <c r="I61" s="8">
        <v>16792</v>
      </c>
      <c r="J61" s="8">
        <v>5000</v>
      </c>
      <c r="K61" s="19">
        <v>0</v>
      </c>
    </row>
    <row r="62" spans="1:11" x14ac:dyDescent="0.45">
      <c r="A62" s="4">
        <v>44295</v>
      </c>
      <c r="B62" s="4">
        <v>44300</v>
      </c>
      <c r="C62" s="9" t="s">
        <v>161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2810</v>
      </c>
      <c r="I62" s="8">
        <v>17792</v>
      </c>
      <c r="J62" s="8">
        <v>5000</v>
      </c>
      <c r="K62" s="19">
        <v>0</v>
      </c>
    </row>
    <row r="63" spans="1:11" x14ac:dyDescent="0.45">
      <c r="A63" s="4">
        <v>44327</v>
      </c>
      <c r="B63" s="4">
        <v>44330</v>
      </c>
      <c r="C63" s="9" t="s">
        <v>161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2903</v>
      </c>
      <c r="I63" s="8">
        <v>17225</v>
      </c>
      <c r="J63" s="8">
        <v>5000</v>
      </c>
      <c r="K63" s="19">
        <v>0</v>
      </c>
    </row>
    <row r="64" spans="1:11" x14ac:dyDescent="0.45">
      <c r="A64" s="4">
        <v>44350</v>
      </c>
      <c r="B64" s="4">
        <v>44355</v>
      </c>
      <c r="C64" s="9" t="s">
        <v>161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2819</v>
      </c>
      <c r="I64" s="8">
        <v>17736</v>
      </c>
      <c r="J64" s="8">
        <v>5000</v>
      </c>
      <c r="K64" s="19">
        <v>0</v>
      </c>
    </row>
    <row r="65" spans="1:11" x14ac:dyDescent="0.45">
      <c r="A65" s="4">
        <v>44362</v>
      </c>
      <c r="B65" s="4">
        <v>44365</v>
      </c>
      <c r="C65" s="9" t="s">
        <v>161</v>
      </c>
      <c r="D65" s="5" t="s">
        <v>159</v>
      </c>
      <c r="E65" s="5" t="s">
        <v>295</v>
      </c>
      <c r="F65" s="5" t="s">
        <v>298</v>
      </c>
      <c r="G65" s="5"/>
      <c r="H65" s="8">
        <v>21050</v>
      </c>
      <c r="I65" s="8">
        <v>18410</v>
      </c>
      <c r="J65" s="8">
        <v>38753</v>
      </c>
      <c r="K65" s="19">
        <v>3753</v>
      </c>
    </row>
    <row r="66" spans="1:11" x14ac:dyDescent="0.45">
      <c r="A66" s="4">
        <v>45243</v>
      </c>
      <c r="B66" s="4">
        <v>45247</v>
      </c>
      <c r="C66" s="9" t="s">
        <v>230</v>
      </c>
      <c r="D66" s="5" t="s">
        <v>159</v>
      </c>
      <c r="E66" s="5" t="s">
        <v>67</v>
      </c>
      <c r="F66" s="5" t="s">
        <v>30</v>
      </c>
      <c r="G66" s="5" t="s">
        <v>160</v>
      </c>
      <c r="H66" s="19">
        <v>180143</v>
      </c>
      <c r="I66" s="19">
        <v>12456</v>
      </c>
      <c r="J66" s="8">
        <v>224386</v>
      </c>
      <c r="K66" s="21">
        <v>0</v>
      </c>
    </row>
    <row r="67" spans="1:11" x14ac:dyDescent="0.45">
      <c r="A67" s="4">
        <v>45664</v>
      </c>
      <c r="B67" s="4">
        <v>45671</v>
      </c>
      <c r="C67" s="9" t="s">
        <v>230</v>
      </c>
      <c r="D67" s="5" t="s">
        <v>159</v>
      </c>
      <c r="E67" s="5" t="s">
        <v>67</v>
      </c>
      <c r="F67" s="5" t="s">
        <v>298</v>
      </c>
      <c r="G67" s="5"/>
      <c r="H67" s="21">
        <v>180143</v>
      </c>
      <c r="I67" s="21">
        <v>15148</v>
      </c>
      <c r="J67" s="21">
        <v>272881</v>
      </c>
      <c r="K67" s="19">
        <v>48494</v>
      </c>
    </row>
  </sheetData>
  <autoFilter ref="A1:K57" xr:uid="{00000000-0009-0000-0000-000007000000}">
    <sortState xmlns:xlrd2="http://schemas.microsoft.com/office/spreadsheetml/2017/richdata2" ref="A2:K67">
      <sortCondition ref="C1:C57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8"/>
  <sheetViews>
    <sheetView zoomScale="70" zoomScaleNormal="70" workbookViewId="0">
      <pane xSplit="4" ySplit="1" topLeftCell="N45" activePane="bottomRight" state="frozen"/>
      <selection pane="topRight" activeCell="E1" sqref="E1"/>
      <selection pane="bottomLeft" activeCell="A2" sqref="A2"/>
      <selection pane="bottomRight" activeCell="S54" sqref="S54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8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2026-02-15T00:56:40Z</dcterms:modified>
</cp:coreProperties>
</file>