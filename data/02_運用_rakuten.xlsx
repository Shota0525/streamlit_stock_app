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6ca29965d2a6599a/01_資産管理/"/>
    </mc:Choice>
  </mc:AlternateContent>
  <xr:revisionPtr revIDLastSave="477" documentId="13_ncr:1_{F23918F6-93A0-4FFC-9C54-3B208A91E086}" xr6:coauthVersionLast="47" xr6:coauthVersionMax="47" xr10:uidLastSave="{A7287AF3-870A-4D9C-B4E9-B8D9DE6E7C43}"/>
  <bookViews>
    <workbookView xWindow="-108" yWindow="-108" windowWidth="23256" windowHeight="12456" tabRatio="819" activeTab="4" xr2:uid="{00000000-000D-0000-FFFF-FFFF00000000}"/>
  </bookViews>
  <sheets>
    <sheet name="まとめ_日本" sheetId="10" r:id="rId1"/>
    <sheet name="まとめ_海外" sheetId="11" r:id="rId2"/>
    <sheet name="国内株式_NISA" sheetId="1" r:id="rId3"/>
    <sheet name="国内株式_NISA_配当" sheetId="2" r:id="rId4"/>
    <sheet name="国内株式_特定" sheetId="6" r:id="rId5"/>
    <sheet name="国内株式_特定_配当" sheetId="5" r:id="rId6"/>
    <sheet name="国内株式_信用" sheetId="7" r:id="rId7"/>
    <sheet name="投資信託" sheetId="9" r:id="rId8"/>
    <sheet name="米国株式" sheetId="8" r:id="rId9"/>
    <sheet name="米国株式_配当" sheetId="3" r:id="rId10"/>
  </sheets>
  <definedNames>
    <definedName name="_xlnm._FilterDatabase" localSheetId="2" hidden="1">国内株式_NISA!$A$1:$N$47</definedName>
    <definedName name="_xlnm._FilterDatabase" localSheetId="3" hidden="1">国内株式_NISA_配当!$A$1:$K$16</definedName>
    <definedName name="_xlnm._FilterDatabase" localSheetId="6" hidden="1">国内株式_信用!$A$1:$AA$1</definedName>
    <definedName name="_xlnm._FilterDatabase" localSheetId="4" hidden="1">国内株式_特定!$A$1:$N$852</definedName>
    <definedName name="_xlnm._FilterDatabase" localSheetId="5" hidden="1">国内株式_特定_配当!$A$1:$K$15</definedName>
    <definedName name="_xlnm._FilterDatabase" localSheetId="7" hidden="1">投資信託!$A$1:$K$59</definedName>
    <definedName name="_xlnm._FilterDatabase" localSheetId="8" hidden="1">米国株式!$A$1:$S$1</definedName>
    <definedName name="_xlnm._FilterDatabase" localSheetId="9" hidden="1">米国株式_配当!$A$1:$K$74</definedName>
  </definedNames>
  <calcPr calcId="191029"/>
</workbook>
</file>

<file path=xl/calcChain.xml><?xml version="1.0" encoding="utf-8"?>
<calcChain xmlns="http://schemas.openxmlformats.org/spreadsheetml/2006/main">
  <c r="H88" i="5" l="1"/>
  <c r="J88" i="5" s="1"/>
  <c r="K88" i="5" s="1"/>
  <c r="H87" i="5"/>
  <c r="J87" i="5" s="1"/>
  <c r="K87" i="5" s="1"/>
  <c r="H60" i="2"/>
  <c r="J60" i="2"/>
  <c r="K60" i="2" s="1"/>
  <c r="J86" i="5" l="1"/>
  <c r="K86" i="5"/>
  <c r="H86" i="5"/>
  <c r="M870" i="6"/>
  <c r="M863" i="6"/>
  <c r="M864" i="6"/>
  <c r="M865" i="6"/>
  <c r="M866" i="6"/>
  <c r="M867" i="6"/>
  <c r="M868" i="6"/>
  <c r="M869" i="6"/>
  <c r="J85" i="5"/>
  <c r="K85" i="5"/>
  <c r="H85" i="5"/>
  <c r="M862" i="6"/>
  <c r="M855" i="6"/>
  <c r="M856" i="6"/>
  <c r="M857" i="6"/>
  <c r="M858" i="6"/>
  <c r="M859" i="6"/>
  <c r="M860" i="6"/>
  <c r="M861" i="6"/>
  <c r="M854" i="6"/>
  <c r="M853" i="6"/>
  <c r="N844" i="6"/>
  <c r="M840" i="6"/>
  <c r="M841" i="6"/>
  <c r="M842" i="6"/>
  <c r="M843" i="6"/>
  <c r="M844" i="6"/>
  <c r="M845" i="6"/>
  <c r="M846" i="6"/>
  <c r="M847" i="6"/>
  <c r="M848" i="6"/>
  <c r="M849" i="6"/>
  <c r="M851" i="6"/>
  <c r="M852" i="6"/>
  <c r="M830" i="6" l="1"/>
  <c r="M831" i="6"/>
  <c r="M832" i="6"/>
  <c r="M833" i="6"/>
  <c r="M834" i="6"/>
  <c r="M835" i="6"/>
  <c r="M836" i="6"/>
  <c r="M837" i="6"/>
  <c r="M838" i="6"/>
  <c r="M839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N813" i="6"/>
  <c r="M814" i="6"/>
  <c r="M813" i="6"/>
  <c r="M812" i="6"/>
  <c r="M811" i="6"/>
  <c r="M810" i="6"/>
  <c r="M809" i="6"/>
  <c r="M808" i="6"/>
  <c r="M807" i="6"/>
  <c r="L4" i="11"/>
  <c r="S56" i="8"/>
  <c r="S58" i="8"/>
  <c r="S57" i="8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S55" i="8"/>
  <c r="N793" i="6"/>
  <c r="N784" i="6"/>
  <c r="N78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59" i="1"/>
  <c r="M60" i="1"/>
  <c r="M61" i="1"/>
  <c r="M62" i="1"/>
  <c r="S53" i="8"/>
  <c r="S54" i="8"/>
  <c r="F10" i="11" s="1"/>
  <c r="G9" i="11"/>
  <c r="G8" i="11"/>
  <c r="G7" i="11"/>
  <c r="G6" i="11"/>
  <c r="G5" i="11"/>
  <c r="F9" i="11"/>
  <c r="F8" i="11"/>
  <c r="F7" i="11"/>
  <c r="F6" i="11"/>
  <c r="F5" i="11"/>
  <c r="H10" i="11"/>
  <c r="H5" i="11"/>
  <c r="D10" i="11"/>
  <c r="C10" i="11"/>
  <c r="C9" i="11"/>
  <c r="C8" i="11"/>
  <c r="C7" i="11"/>
  <c r="C6" i="11"/>
  <c r="C5" i="11"/>
  <c r="B10" i="11"/>
  <c r="B8" i="11"/>
  <c r="B9" i="11"/>
  <c r="B7" i="11"/>
  <c r="B6" i="11"/>
  <c r="B5" i="11"/>
  <c r="O10" i="10"/>
  <c r="P10" i="10"/>
  <c r="L10" i="10"/>
  <c r="K10" i="10"/>
  <c r="M10" i="10" s="1"/>
  <c r="N10" i="10" s="1"/>
  <c r="H10" i="10"/>
  <c r="G10" i="10"/>
  <c r="F10" i="10"/>
  <c r="D10" i="10"/>
  <c r="C10" i="10"/>
  <c r="B10" i="10"/>
  <c r="E10" i="10" l="1"/>
  <c r="Q10" i="10"/>
  <c r="R10" i="10" s="1"/>
  <c r="T1" i="8"/>
  <c r="E10" i="11"/>
  <c r="G10" i="11"/>
  <c r="I10" i="11" s="1"/>
  <c r="J10" i="11" s="1"/>
  <c r="K10" i="11" s="1"/>
  <c r="E5" i="11"/>
  <c r="E6" i="11"/>
  <c r="E7" i="11"/>
  <c r="E9" i="11"/>
  <c r="E8" i="11"/>
  <c r="I10" i="10"/>
  <c r="J10" i="10" s="1"/>
  <c r="I9" i="11"/>
  <c r="J9" i="11" s="1"/>
  <c r="I8" i="11"/>
  <c r="J8" i="11" s="1"/>
  <c r="I6" i="11"/>
  <c r="J6" i="11" s="1"/>
  <c r="I7" i="11"/>
  <c r="J7" i="11" s="1"/>
  <c r="K7" i="11" s="1"/>
  <c r="I5" i="11"/>
  <c r="J5" i="11" s="1"/>
  <c r="C4" i="11"/>
  <c r="B4" i="11"/>
  <c r="F4" i="11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3" i="8"/>
  <c r="S4" i="8"/>
  <c r="S2" i="8"/>
  <c r="S10" i="10" l="1"/>
  <c r="K6" i="11"/>
  <c r="K9" i="11"/>
  <c r="G4" i="11"/>
  <c r="I4" i="11" s="1"/>
  <c r="K8" i="11"/>
  <c r="E4" i="11"/>
  <c r="J4" i="11"/>
  <c r="K4" i="11" s="1"/>
  <c r="K5" i="11"/>
  <c r="I74" i="3"/>
  <c r="K74" i="3"/>
  <c r="M764" i="6"/>
  <c r="M765" i="6"/>
  <c r="M766" i="6"/>
  <c r="M767" i="6"/>
  <c r="M768" i="6"/>
  <c r="M769" i="6"/>
  <c r="N759" i="6" l="1"/>
  <c r="M757" i="6"/>
  <c r="M758" i="6"/>
  <c r="M759" i="6"/>
  <c r="M760" i="6"/>
  <c r="M761" i="6"/>
  <c r="M762" i="6"/>
  <c r="M763" i="6"/>
  <c r="M58" i="1"/>
  <c r="J84" i="5"/>
  <c r="K84" i="5"/>
  <c r="H84" i="5"/>
  <c r="J83" i="5"/>
  <c r="K83" i="5"/>
  <c r="H83" i="5"/>
  <c r="M756" i="6"/>
  <c r="J59" i="2"/>
  <c r="K59" i="2"/>
  <c r="H59" i="2"/>
  <c r="J82" i="5"/>
  <c r="K82" i="5"/>
  <c r="H82" i="5"/>
  <c r="N752" i="6"/>
  <c r="M755" i="6"/>
  <c r="M754" i="6"/>
  <c r="M753" i="6"/>
  <c r="M752" i="6"/>
  <c r="J81" i="5"/>
  <c r="K81" i="5"/>
  <c r="H81" i="5"/>
  <c r="J53" i="2"/>
  <c r="K53" i="2" s="1"/>
  <c r="H53" i="2"/>
  <c r="M751" i="6"/>
  <c r="J80" i="5"/>
  <c r="K80" i="5" s="1"/>
  <c r="H80" i="5"/>
  <c r="H24" i="2"/>
  <c r="J24" i="2" s="1"/>
  <c r="K24" i="2" s="1"/>
  <c r="J50" i="2"/>
  <c r="K50" i="2" s="1"/>
  <c r="H50" i="2"/>
  <c r="J79" i="5"/>
  <c r="K79" i="5"/>
  <c r="H79" i="5"/>
  <c r="N749" i="6" l="1"/>
  <c r="M748" i="6"/>
  <c r="M749" i="6"/>
  <c r="M750" i="6"/>
  <c r="H58" i="2"/>
  <c r="J58" i="2" s="1"/>
  <c r="K58" i="2" s="1"/>
  <c r="H57" i="2"/>
  <c r="J57" i="2" s="1"/>
  <c r="K57" i="2" s="1"/>
  <c r="H56" i="2"/>
  <c r="J56" i="2" s="1"/>
  <c r="K56" i="2" s="1"/>
  <c r="J78" i="5"/>
  <c r="K78" i="5"/>
  <c r="H78" i="5"/>
  <c r="J77" i="5"/>
  <c r="K77" i="5"/>
  <c r="H77" i="5"/>
  <c r="J76" i="5"/>
  <c r="K76" i="5"/>
  <c r="H76" i="5"/>
  <c r="J75" i="5"/>
  <c r="K75" i="5"/>
  <c r="H75" i="5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27" i="6"/>
  <c r="M726" i="6"/>
  <c r="M725" i="6"/>
  <c r="M724" i="6"/>
  <c r="M723" i="6"/>
  <c r="M722" i="6"/>
  <c r="M721" i="6"/>
  <c r="M720" i="6"/>
  <c r="M719" i="6"/>
  <c r="M718" i="6"/>
  <c r="N715" i="6"/>
  <c r="M717" i="6"/>
  <c r="M716" i="6"/>
  <c r="M715" i="6"/>
  <c r="M714" i="6"/>
  <c r="M713" i="6"/>
  <c r="M712" i="6"/>
  <c r="M711" i="6"/>
  <c r="M710" i="6"/>
  <c r="M709" i="6"/>
  <c r="N700" i="6"/>
  <c r="N699" i="6"/>
  <c r="N698" i="6"/>
  <c r="N702" i="6"/>
  <c r="M706" i="6"/>
  <c r="M707" i="6"/>
  <c r="M708" i="6"/>
  <c r="M705" i="6"/>
  <c r="M704" i="6"/>
  <c r="M703" i="6"/>
  <c r="M702" i="6"/>
  <c r="M701" i="6"/>
  <c r="M700" i="6"/>
  <c r="M699" i="6"/>
  <c r="M698" i="6"/>
  <c r="M697" i="6"/>
  <c r="M696" i="6"/>
  <c r="M695" i="6"/>
  <c r="M694" i="6"/>
  <c r="M693" i="6"/>
  <c r="M692" i="6"/>
  <c r="M691" i="6"/>
  <c r="M690" i="6"/>
  <c r="M689" i="6"/>
  <c r="M688" i="6"/>
  <c r="M687" i="6"/>
  <c r="M678" i="6"/>
  <c r="M679" i="6"/>
  <c r="M680" i="6"/>
  <c r="M681" i="6"/>
  <c r="M682" i="6"/>
  <c r="M683" i="6"/>
  <c r="M684" i="6"/>
  <c r="M685" i="6"/>
  <c r="M686" i="6"/>
  <c r="K73" i="3"/>
  <c r="I73" i="3"/>
  <c r="M677" i="6"/>
  <c r="J74" i="5"/>
  <c r="K74" i="5"/>
  <c r="H74" i="5"/>
  <c r="M674" i="6"/>
  <c r="M673" i="6"/>
  <c r="M672" i="6"/>
  <c r="M671" i="6" l="1"/>
  <c r="H55" i="2"/>
  <c r="J55" i="2" s="1"/>
  <c r="K55" i="2" s="1"/>
  <c r="H54" i="2"/>
  <c r="J54" i="2" s="1"/>
  <c r="K54" i="2" s="1"/>
  <c r="J73" i="5"/>
  <c r="K73" i="5"/>
  <c r="H73" i="5"/>
  <c r="K72" i="5"/>
  <c r="J72" i="5"/>
  <c r="H72" i="5"/>
  <c r="J71" i="5"/>
  <c r="K71" i="5"/>
  <c r="H71" i="5"/>
  <c r="M670" i="6"/>
  <c r="M669" i="6"/>
  <c r="M57" i="1"/>
  <c r="V2" i="10"/>
  <c r="U4" i="10" s="1"/>
  <c r="M668" i="6"/>
  <c r="M667" i="6"/>
  <c r="M666" i="6" l="1"/>
  <c r="M665" i="6"/>
  <c r="M664" i="6"/>
  <c r="M663" i="6"/>
  <c r="M662" i="6"/>
  <c r="M661" i="6"/>
  <c r="M660" i="6"/>
  <c r="M56" i="1"/>
  <c r="K72" i="3"/>
  <c r="I72" i="3"/>
  <c r="J70" i="5"/>
  <c r="K70" i="5"/>
  <c r="J69" i="5"/>
  <c r="K69" i="5" s="1"/>
  <c r="J68" i="5"/>
  <c r="K68" i="5" s="1"/>
  <c r="J67" i="5"/>
  <c r="K67" i="5"/>
  <c r="J66" i="5"/>
  <c r="K66" i="5"/>
  <c r="H70" i="5"/>
  <c r="H69" i="5"/>
  <c r="H68" i="5"/>
  <c r="H67" i="5"/>
  <c r="H66" i="5"/>
  <c r="M659" i="6"/>
  <c r="M658" i="6"/>
  <c r="H16" i="2"/>
  <c r="J16" i="2" s="1"/>
  <c r="K16" i="2" s="1"/>
  <c r="H17" i="2"/>
  <c r="J17" i="2" s="1"/>
  <c r="K17" i="2" s="1"/>
  <c r="M657" i="6"/>
  <c r="M656" i="6"/>
  <c r="M655" i="6"/>
  <c r="M654" i="6"/>
  <c r="I71" i="3"/>
  <c r="K71" i="3"/>
  <c r="H4" i="2"/>
  <c r="J4" i="2"/>
  <c r="K4" i="2"/>
  <c r="H65" i="5"/>
  <c r="J65" i="5" s="1"/>
  <c r="K65" i="5" s="1"/>
  <c r="M650" i="6"/>
  <c r="M651" i="6"/>
  <c r="M652" i="6"/>
  <c r="M653" i="6"/>
  <c r="M649" i="6"/>
  <c r="H64" i="5" l="1"/>
  <c r="J64" i="5" s="1"/>
  <c r="K64" i="5" s="1"/>
  <c r="M648" i="6"/>
  <c r="M647" i="6"/>
  <c r="M646" i="6"/>
  <c r="M645" i="6"/>
  <c r="M644" i="6"/>
  <c r="M643" i="6"/>
  <c r="M642" i="6"/>
  <c r="M55" i="1"/>
  <c r="M641" i="6"/>
  <c r="M639" i="6"/>
  <c r="M640" i="6"/>
  <c r="M634" i="6"/>
  <c r="M635" i="6"/>
  <c r="M636" i="6"/>
  <c r="M637" i="6"/>
  <c r="M638" i="6"/>
  <c r="J63" i="5"/>
  <c r="K63" i="5"/>
  <c r="H63" i="5"/>
  <c r="J62" i="5"/>
  <c r="K62" i="5" s="1"/>
  <c r="H62" i="5"/>
  <c r="H49" i="2"/>
  <c r="J49" i="2" s="1"/>
  <c r="K49" i="2" s="1"/>
  <c r="M630" i="6"/>
  <c r="M631" i="6"/>
  <c r="M632" i="6"/>
  <c r="M633" i="6"/>
  <c r="H23" i="2"/>
  <c r="J23" i="2" s="1"/>
  <c r="K23" i="2" s="1"/>
  <c r="J61" i="5"/>
  <c r="K61" i="5"/>
  <c r="H61" i="5"/>
  <c r="M629" i="6"/>
  <c r="M628" i="6"/>
  <c r="M627" i="6"/>
  <c r="M626" i="6"/>
  <c r="M625" i="6"/>
  <c r="J60" i="5"/>
  <c r="K60" i="5"/>
  <c r="H60" i="5"/>
  <c r="M624" i="6"/>
  <c r="M623" i="6"/>
  <c r="M622" i="6"/>
  <c r="M621" i="6"/>
  <c r="M620" i="6"/>
  <c r="M619" i="6"/>
  <c r="M618" i="6"/>
  <c r="M617" i="6"/>
  <c r="M616" i="6"/>
  <c r="M615" i="6"/>
  <c r="M614" i="6"/>
  <c r="M613" i="6"/>
  <c r="J59" i="5"/>
  <c r="K59" i="5"/>
  <c r="H59" i="5"/>
  <c r="M54" i="1"/>
  <c r="M612" i="6"/>
  <c r="M611" i="6"/>
  <c r="M610" i="6"/>
  <c r="M609" i="6"/>
  <c r="M608" i="6"/>
  <c r="M607" i="6"/>
  <c r="M606" i="6"/>
  <c r="M605" i="6"/>
  <c r="M604" i="6"/>
  <c r="M53" i="1"/>
  <c r="M52" i="1"/>
  <c r="I70" i="3"/>
  <c r="K70" i="3"/>
  <c r="D9" i="11" s="1"/>
  <c r="I69" i="3"/>
  <c r="K69" i="3"/>
  <c r="H9" i="11" s="1"/>
  <c r="H48" i="2"/>
  <c r="J48" i="2" s="1"/>
  <c r="K48" i="2" s="1"/>
  <c r="H29" i="2"/>
  <c r="J29" i="2" s="1"/>
  <c r="K29" i="2" s="1"/>
  <c r="J58" i="5"/>
  <c r="K58" i="5" s="1"/>
  <c r="H58" i="5"/>
  <c r="J57" i="5"/>
  <c r="K57" i="5" s="1"/>
  <c r="H57" i="5"/>
  <c r="J56" i="5"/>
  <c r="K56" i="5"/>
  <c r="H56" i="5"/>
  <c r="J55" i="5" l="1"/>
  <c r="K55" i="5" s="1"/>
  <c r="H55" i="5"/>
  <c r="J54" i="5"/>
  <c r="K54" i="5" s="1"/>
  <c r="H54" i="5"/>
  <c r="M603" i="6"/>
  <c r="M51" i="1"/>
  <c r="N600" i="6"/>
  <c r="M602" i="6"/>
  <c r="M601" i="6"/>
  <c r="M600" i="6"/>
  <c r="N599" i="6"/>
  <c r="M599" i="6"/>
  <c r="M598" i="6"/>
  <c r="M597" i="6"/>
  <c r="M596" i="6"/>
  <c r="M590" i="6"/>
  <c r="M591" i="6"/>
  <c r="M592" i="6"/>
  <c r="M593" i="6"/>
  <c r="M594" i="6"/>
  <c r="M595" i="6"/>
  <c r="M588" i="6"/>
  <c r="M589" i="6"/>
  <c r="M587" i="6"/>
  <c r="M585" i="6"/>
  <c r="M586" i="6"/>
  <c r="M584" i="6"/>
  <c r="M583" i="6"/>
  <c r="M50" i="1"/>
  <c r="M582" i="6"/>
  <c r="M581" i="6"/>
  <c r="M580" i="6"/>
  <c r="M579" i="6"/>
  <c r="M578" i="6"/>
  <c r="M577" i="6"/>
  <c r="N576" i="6"/>
  <c r="M49" i="1"/>
  <c r="M48" i="1"/>
  <c r="M576" i="6"/>
  <c r="M575" i="6"/>
  <c r="M574" i="6"/>
  <c r="M573" i="6"/>
  <c r="M572" i="6"/>
  <c r="M571" i="6"/>
  <c r="M570" i="6" l="1"/>
  <c r="P9" i="10" l="1"/>
  <c r="P8" i="10"/>
  <c r="P7" i="10"/>
  <c r="P6" i="10"/>
  <c r="O9" i="10"/>
  <c r="O8" i="10"/>
  <c r="O6" i="10"/>
  <c r="O7" i="10"/>
  <c r="P5" i="10"/>
  <c r="O5" i="10"/>
  <c r="M569" i="6"/>
  <c r="M568" i="6"/>
  <c r="M567" i="6"/>
  <c r="M566" i="6"/>
  <c r="M47" i="1"/>
  <c r="M565" i="6"/>
  <c r="M564" i="6"/>
  <c r="M563" i="6"/>
  <c r="M553" i="6"/>
  <c r="M562" i="6"/>
  <c r="L9" i="10"/>
  <c r="K9" i="10"/>
  <c r="H9" i="10"/>
  <c r="G9" i="10"/>
  <c r="F9" i="10"/>
  <c r="D9" i="10"/>
  <c r="C9" i="10"/>
  <c r="B9" i="10"/>
  <c r="M561" i="6"/>
  <c r="M560" i="6"/>
  <c r="M559" i="6"/>
  <c r="M558" i="6"/>
  <c r="M556" i="6"/>
  <c r="M554" i="6"/>
  <c r="M552" i="6"/>
  <c r="M551" i="6"/>
  <c r="I68" i="3"/>
  <c r="K68" i="3"/>
  <c r="N550" i="6"/>
  <c r="M550" i="6"/>
  <c r="M43" i="1"/>
  <c r="M549" i="6"/>
  <c r="M548" i="6"/>
  <c r="I67" i="3"/>
  <c r="K67" i="3"/>
  <c r="I66" i="3"/>
  <c r="K66" i="3"/>
  <c r="H22" i="2"/>
  <c r="J22" i="2" s="1"/>
  <c r="K22" i="2" s="1"/>
  <c r="J53" i="5"/>
  <c r="K53" i="5" s="1"/>
  <c r="H53" i="5"/>
  <c r="N543" i="6"/>
  <c r="N540" i="6"/>
  <c r="M547" i="6"/>
  <c r="M546" i="6"/>
  <c r="M545" i="6"/>
  <c r="M544" i="6"/>
  <c r="M543" i="6"/>
  <c r="M542" i="6"/>
  <c r="M541" i="6"/>
  <c r="M540" i="6"/>
  <c r="H38" i="2"/>
  <c r="J38" i="2" s="1"/>
  <c r="K38" i="2" s="1"/>
  <c r="H52" i="5"/>
  <c r="J52" i="5" s="1"/>
  <c r="K52" i="5" s="1"/>
  <c r="J51" i="5"/>
  <c r="K51" i="5"/>
  <c r="H51" i="5"/>
  <c r="H50" i="5"/>
  <c r="J50" i="5" s="1"/>
  <c r="K50" i="5" s="1"/>
  <c r="J49" i="5"/>
  <c r="K49" i="5"/>
  <c r="H49" i="5"/>
  <c r="H14" i="2"/>
  <c r="J14" i="2" s="1"/>
  <c r="K14" i="2" s="1"/>
  <c r="H15" i="2"/>
  <c r="J15" i="2" s="1"/>
  <c r="K15" i="2" s="1"/>
  <c r="M539" i="6"/>
  <c r="M538" i="6"/>
  <c r="M537" i="6"/>
  <c r="M536" i="6"/>
  <c r="M535" i="6"/>
  <c r="M534" i="6"/>
  <c r="Q9" i="10" l="1"/>
  <c r="R9" i="10" s="1"/>
  <c r="O4" i="10"/>
  <c r="P4" i="10"/>
  <c r="Q7" i="10"/>
  <c r="R7" i="10" s="1"/>
  <c r="Q6" i="10"/>
  <c r="R6" i="10" s="1"/>
  <c r="Q8" i="10"/>
  <c r="R8" i="10" s="1"/>
  <c r="Q5" i="10"/>
  <c r="R5" i="10" s="1"/>
  <c r="E9" i="10"/>
  <c r="M9" i="10"/>
  <c r="N9" i="10" s="1"/>
  <c r="I9" i="10"/>
  <c r="J9" i="10" s="1"/>
  <c r="M531" i="6"/>
  <c r="M532" i="6"/>
  <c r="M533" i="6"/>
  <c r="M530" i="6"/>
  <c r="M529" i="6"/>
  <c r="M528" i="6"/>
  <c r="M527" i="6"/>
  <c r="M526" i="6"/>
  <c r="M525" i="6"/>
  <c r="M524" i="6"/>
  <c r="N518" i="6"/>
  <c r="N520" i="6"/>
  <c r="M520" i="6"/>
  <c r="M521" i="6"/>
  <c r="M522" i="6"/>
  <c r="M523" i="6"/>
  <c r="M519" i="6"/>
  <c r="M518" i="6"/>
  <c r="M517" i="6"/>
  <c r="M516" i="6"/>
  <c r="M515" i="6"/>
  <c r="M514" i="6"/>
  <c r="R4" i="10" l="1"/>
  <c r="Q4" i="10"/>
  <c r="S9" i="10"/>
  <c r="N510" i="6"/>
  <c r="M513" i="6"/>
  <c r="M512" i="6"/>
  <c r="M511" i="6"/>
  <c r="M510" i="6"/>
  <c r="I65" i="3"/>
  <c r="K65" i="3"/>
  <c r="M508" i="6" l="1"/>
  <c r="M509" i="6"/>
  <c r="M506" i="6"/>
  <c r="M507" i="6"/>
  <c r="M505" i="6"/>
  <c r="M504" i="6"/>
  <c r="M503" i="6"/>
  <c r="M500" i="6"/>
  <c r="M501" i="6"/>
  <c r="M502" i="6"/>
  <c r="M499" i="6"/>
  <c r="M498" i="6"/>
  <c r="M495" i="6"/>
  <c r="M496" i="6"/>
  <c r="M497" i="6"/>
  <c r="M494" i="6"/>
  <c r="M491" i="6"/>
  <c r="M492" i="6"/>
  <c r="M493" i="6"/>
  <c r="M485" i="6"/>
  <c r="M486" i="6"/>
  <c r="M487" i="6"/>
  <c r="M488" i="6"/>
  <c r="M489" i="6"/>
  <c r="M490" i="6"/>
  <c r="K64" i="3"/>
  <c r="I63" i="3"/>
  <c r="K63" i="3"/>
  <c r="I64" i="3"/>
  <c r="M484" i="6"/>
  <c r="M483" i="6"/>
  <c r="M482" i="6"/>
  <c r="M481" i="6"/>
  <c r="M42" i="1"/>
  <c r="M480" i="6"/>
  <c r="M478" i="6" l="1"/>
  <c r="M479" i="6"/>
  <c r="M477" i="6"/>
  <c r="M476" i="6"/>
  <c r="M475" i="6"/>
  <c r="I62" i="3"/>
  <c r="K62" i="3"/>
  <c r="I61" i="3"/>
  <c r="K61" i="3"/>
  <c r="H7" i="2"/>
  <c r="J7" i="2" s="1"/>
  <c r="K7" i="2" s="1"/>
  <c r="H28" i="2"/>
  <c r="J28" i="2" s="1"/>
  <c r="K28" i="2" s="1"/>
  <c r="H48" i="5" l="1"/>
  <c r="J48" i="5" s="1"/>
  <c r="K48" i="5" s="1"/>
  <c r="H46" i="2"/>
  <c r="J46" i="2" s="1"/>
  <c r="K46" i="2" s="1"/>
  <c r="K32" i="8"/>
  <c r="M41" i="1"/>
  <c r="M474" i="6"/>
  <c r="I60" i="3"/>
  <c r="K60" i="3"/>
  <c r="N472" i="6"/>
  <c r="M472" i="6"/>
  <c r="M473" i="6"/>
  <c r="N468" i="6"/>
  <c r="N470" i="6"/>
  <c r="M470" i="6"/>
  <c r="M471" i="6"/>
  <c r="M469" i="6"/>
  <c r="I59" i="3"/>
  <c r="K59" i="3"/>
  <c r="I58" i="3"/>
  <c r="K58" i="3"/>
  <c r="M40" i="1"/>
  <c r="M468" i="6"/>
  <c r="M467" i="6"/>
  <c r="H37" i="2"/>
  <c r="J37" i="2" s="1"/>
  <c r="K37" i="2" s="1"/>
  <c r="H13" i="2"/>
  <c r="J13" i="2" s="1"/>
  <c r="K13" i="2" s="1"/>
  <c r="H12" i="2"/>
  <c r="J12" i="2" s="1"/>
  <c r="K12" i="2" s="1"/>
  <c r="H47" i="5"/>
  <c r="J47" i="5"/>
  <c r="K47" i="5"/>
  <c r="H46" i="5"/>
  <c r="J46" i="5"/>
  <c r="K46" i="5" s="1"/>
  <c r="J45" i="5"/>
  <c r="K45" i="5" s="1"/>
  <c r="H45" i="5"/>
  <c r="J44" i="5"/>
  <c r="K44" i="5"/>
  <c r="H44" i="5"/>
  <c r="H43" i="5"/>
  <c r="J43" i="5" s="1"/>
  <c r="K43" i="5" s="1"/>
  <c r="K31" i="8"/>
  <c r="M465" i="6"/>
  <c r="I57" i="3"/>
  <c r="K57" i="3"/>
  <c r="H52" i="2"/>
  <c r="J52" i="2" s="1"/>
  <c r="K52" i="2" s="1"/>
  <c r="J42" i="5"/>
  <c r="K42" i="5" s="1"/>
  <c r="H42" i="5"/>
  <c r="H41" i="5" l="1"/>
  <c r="J41" i="5" s="1"/>
  <c r="K41" i="5" s="1"/>
  <c r="H30" i="2"/>
  <c r="J30" i="2" s="1"/>
  <c r="K30" i="2" s="1"/>
  <c r="M464" i="6"/>
  <c r="M463" i="6"/>
  <c r="H21" i="2"/>
  <c r="J21" i="2" s="1"/>
  <c r="K21" i="2" s="1"/>
  <c r="M462" i="6"/>
  <c r="M461" i="6"/>
  <c r="M460" i="6"/>
  <c r="I56" i="3"/>
  <c r="K56" i="3"/>
  <c r="M459" i="6"/>
  <c r="M458" i="6"/>
  <c r="M457" i="6"/>
  <c r="M456" i="6"/>
  <c r="M455" i="6"/>
  <c r="M454" i="6"/>
  <c r="M453" i="6"/>
  <c r="M39" i="1"/>
  <c r="H40" i="5"/>
  <c r="J40" i="5" s="1"/>
  <c r="K40" i="5" s="1"/>
  <c r="M452" i="6"/>
  <c r="M451" i="6"/>
  <c r="M450" i="6"/>
  <c r="M449" i="6"/>
  <c r="M448" i="6"/>
  <c r="M447" i="6"/>
  <c r="M446" i="6"/>
  <c r="I55" i="3"/>
  <c r="K55" i="3"/>
  <c r="D8" i="11" s="1"/>
  <c r="H27" i="2" l="1"/>
  <c r="J27" i="2" s="1"/>
  <c r="K27" i="2" s="1"/>
  <c r="H45" i="2"/>
  <c r="J45" i="2" s="1"/>
  <c r="K45" i="2" s="1"/>
  <c r="H39" i="5"/>
  <c r="H8" i="10" s="1"/>
  <c r="I54" i="3"/>
  <c r="K54" i="3"/>
  <c r="J38" i="5"/>
  <c r="K38" i="5" s="1"/>
  <c r="J37" i="5"/>
  <c r="K37" i="5"/>
  <c r="H38" i="5"/>
  <c r="H37" i="5"/>
  <c r="N443" i="6"/>
  <c r="M445" i="6"/>
  <c r="M444" i="6"/>
  <c r="M443" i="6"/>
  <c r="M442" i="6"/>
  <c r="M441" i="6"/>
  <c r="M440" i="6"/>
  <c r="M439" i="6"/>
  <c r="M37" i="1"/>
  <c r="M438" i="6"/>
  <c r="M437" i="6"/>
  <c r="H53" i="3"/>
  <c r="I53" i="3" s="1"/>
  <c r="K53" i="3"/>
  <c r="H6" i="2"/>
  <c r="J6" i="2" s="1"/>
  <c r="K6" i="2" s="1"/>
  <c r="M436" i="6"/>
  <c r="M435" i="6"/>
  <c r="M434" i="6"/>
  <c r="M431" i="6"/>
  <c r="M432" i="6"/>
  <c r="M433" i="6"/>
  <c r="M430" i="6"/>
  <c r="M429" i="6"/>
  <c r="M428" i="6"/>
  <c r="M427" i="6"/>
  <c r="M426" i="6"/>
  <c r="M425" i="6"/>
  <c r="M424" i="6"/>
  <c r="M423" i="6"/>
  <c r="M419" i="6"/>
  <c r="M420" i="6"/>
  <c r="M421" i="6"/>
  <c r="M422" i="6"/>
  <c r="M36" i="1"/>
  <c r="M35" i="1"/>
  <c r="M34" i="1"/>
  <c r="M417" i="6"/>
  <c r="M418" i="6"/>
  <c r="M416" i="6"/>
  <c r="M415" i="6"/>
  <c r="M414" i="6"/>
  <c r="M413" i="6"/>
  <c r="M412" i="6"/>
  <c r="M411" i="6"/>
  <c r="M410" i="6"/>
  <c r="K52" i="3"/>
  <c r="H8" i="11" s="1"/>
  <c r="I52" i="3"/>
  <c r="M409" i="6"/>
  <c r="M408" i="6"/>
  <c r="M407" i="6"/>
  <c r="M33" i="1"/>
  <c r="M403" i="6"/>
  <c r="M404" i="6"/>
  <c r="M405" i="6"/>
  <c r="M406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L8" i="10"/>
  <c r="K8" i="10"/>
  <c r="G8" i="10"/>
  <c r="F8" i="10"/>
  <c r="C8" i="10"/>
  <c r="B8" i="10"/>
  <c r="M383" i="6"/>
  <c r="I51" i="3"/>
  <c r="K51" i="3"/>
  <c r="M381" i="6"/>
  <c r="I50" i="3"/>
  <c r="K50" i="3"/>
  <c r="M380" i="6"/>
  <c r="I49" i="3"/>
  <c r="K49" i="3"/>
  <c r="I48" i="3"/>
  <c r="K48" i="3"/>
  <c r="I47" i="3"/>
  <c r="K47" i="3"/>
  <c r="M379" i="6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H36" i="5"/>
  <c r="J36" i="5"/>
  <c r="K36" i="5" s="1"/>
  <c r="H35" i="5"/>
  <c r="J35" i="5" s="1"/>
  <c r="K35" i="5" s="1"/>
  <c r="H20" i="2"/>
  <c r="J20" i="2" s="1"/>
  <c r="K20" i="2" s="1"/>
  <c r="H36" i="2"/>
  <c r="J36" i="2" s="1"/>
  <c r="K36" i="2" s="1"/>
  <c r="M356" i="6"/>
  <c r="H11" i="2"/>
  <c r="J11" i="2" s="1"/>
  <c r="K11" i="2" s="1"/>
  <c r="H34" i="5"/>
  <c r="J34" i="5"/>
  <c r="K34" i="5" s="1"/>
  <c r="H33" i="5"/>
  <c r="J33" i="5"/>
  <c r="K33" i="5" s="1"/>
  <c r="H32" i="5"/>
  <c r="J32" i="5"/>
  <c r="K32" i="5" s="1"/>
  <c r="M355" i="6"/>
  <c r="K2" i="3"/>
  <c r="K3" i="3"/>
  <c r="K4" i="3"/>
  <c r="K5" i="3"/>
  <c r="K6" i="3"/>
  <c r="D6" i="11" s="1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H6" i="11" s="1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I46" i="3"/>
  <c r="M354" i="6"/>
  <c r="M353" i="6"/>
  <c r="M352" i="6"/>
  <c r="M351" i="6"/>
  <c r="M350" i="6"/>
  <c r="M346" i="6"/>
  <c r="M347" i="6"/>
  <c r="M348" i="6"/>
  <c r="M349" i="6"/>
  <c r="M345" i="6"/>
  <c r="M344" i="6"/>
  <c r="M343" i="6"/>
  <c r="M342" i="6"/>
  <c r="M31" i="1"/>
  <c r="M341" i="6"/>
  <c r="M340" i="6"/>
  <c r="M337" i="6"/>
  <c r="M338" i="6"/>
  <c r="M339" i="6"/>
  <c r="M336" i="6"/>
  <c r="I45" i="3"/>
  <c r="M334" i="6"/>
  <c r="M335" i="6"/>
  <c r="M333" i="6"/>
  <c r="I44" i="3"/>
  <c r="I43" i="3"/>
  <c r="M332" i="6"/>
  <c r="I42" i="3"/>
  <c r="I41" i="3"/>
  <c r="H31" i="5"/>
  <c r="J31" i="5"/>
  <c r="K31" i="5"/>
  <c r="M331" i="6"/>
  <c r="H26" i="2"/>
  <c r="J26" i="2" s="1"/>
  <c r="K26" i="2" s="1"/>
  <c r="M30" i="1"/>
  <c r="M330" i="6"/>
  <c r="M329" i="6"/>
  <c r="H30" i="5"/>
  <c r="J30" i="5"/>
  <c r="K30" i="5"/>
  <c r="M328" i="6"/>
  <c r="H44" i="2"/>
  <c r="J44" i="2" s="1"/>
  <c r="K44" i="2" s="1"/>
  <c r="M327" i="6"/>
  <c r="M326" i="6"/>
  <c r="M325" i="6"/>
  <c r="M324" i="6"/>
  <c r="M323" i="6"/>
  <c r="I40" i="3"/>
  <c r="M29" i="1"/>
  <c r="M28" i="1"/>
  <c r="M320" i="6"/>
  <c r="M321" i="6"/>
  <c r="M322" i="6"/>
  <c r="M319" i="6"/>
  <c r="M318" i="6"/>
  <c r="M317" i="6"/>
  <c r="M316" i="6"/>
  <c r="M315" i="6"/>
  <c r="M314" i="6"/>
  <c r="M313" i="6"/>
  <c r="M312" i="6"/>
  <c r="M311" i="6"/>
  <c r="M310" i="6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5" i="6"/>
  <c r="M306" i="6"/>
  <c r="M307" i="6"/>
  <c r="M308" i="6"/>
  <c r="M309" i="6"/>
  <c r="M304" i="6"/>
  <c r="I39" i="3"/>
  <c r="L7" i="10"/>
  <c r="L6" i="10"/>
  <c r="K6" i="10"/>
  <c r="K7" i="10"/>
  <c r="L5" i="10"/>
  <c r="K5" i="10"/>
  <c r="G6" i="10"/>
  <c r="G5" i="10"/>
  <c r="F5" i="10"/>
  <c r="F6" i="10"/>
  <c r="C7" i="10"/>
  <c r="C6" i="10"/>
  <c r="C5" i="10"/>
  <c r="B7" i="10"/>
  <c r="B6" i="10"/>
  <c r="B5" i="10"/>
  <c r="I38" i="3"/>
  <c r="I37" i="3"/>
  <c r="I36" i="3"/>
  <c r="H35" i="2"/>
  <c r="J35" i="2" s="1"/>
  <c r="K35" i="2" s="1"/>
  <c r="H10" i="2"/>
  <c r="J10" i="2" s="1"/>
  <c r="K10" i="2" s="1"/>
  <c r="H29" i="5"/>
  <c r="J29" i="5"/>
  <c r="K29" i="5"/>
  <c r="H28" i="5"/>
  <c r="J28" i="5" s="1"/>
  <c r="K28" i="5" s="1"/>
  <c r="H27" i="5"/>
  <c r="J27" i="5" s="1"/>
  <c r="K27" i="5" s="1"/>
  <c r="H26" i="5"/>
  <c r="J26" i="5"/>
  <c r="K26" i="5"/>
  <c r="I35" i="3"/>
  <c r="H25" i="5"/>
  <c r="J25" i="5"/>
  <c r="K25" i="5" s="1"/>
  <c r="H51" i="2"/>
  <c r="J51" i="2" s="1"/>
  <c r="K51" i="2" s="1"/>
  <c r="H24" i="5"/>
  <c r="J24" i="5"/>
  <c r="K24" i="5"/>
  <c r="H23" i="5"/>
  <c r="J23" i="5"/>
  <c r="K23" i="5"/>
  <c r="H22" i="5"/>
  <c r="J22" i="5"/>
  <c r="K22" i="5"/>
  <c r="I34" i="3"/>
  <c r="M27" i="1"/>
  <c r="H21" i="5"/>
  <c r="J21" i="5"/>
  <c r="K21" i="5"/>
  <c r="H20" i="5"/>
  <c r="J20" i="5"/>
  <c r="K20" i="5"/>
  <c r="H19" i="5"/>
  <c r="J19" i="5"/>
  <c r="K19" i="5" s="1"/>
  <c r="H18" i="5"/>
  <c r="J18" i="5"/>
  <c r="K18" i="5" s="1"/>
  <c r="M25" i="1"/>
  <c r="M26" i="1"/>
  <c r="I33" i="3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M24" i="1"/>
  <c r="M17" i="1"/>
  <c r="M10" i="1"/>
  <c r="M13" i="1"/>
  <c r="M3" i="1"/>
  <c r="M18" i="1"/>
  <c r="M4" i="1"/>
  <c r="M12" i="1"/>
  <c r="M23" i="1"/>
  <c r="M20" i="1"/>
  <c r="M2" i="1"/>
  <c r="M19" i="1"/>
  <c r="M21" i="1"/>
  <c r="M5" i="1"/>
  <c r="M6" i="1"/>
  <c r="M11" i="1"/>
  <c r="M16" i="1"/>
  <c r="M7" i="1"/>
  <c r="M15" i="1"/>
  <c r="M8" i="1"/>
  <c r="M14" i="1"/>
  <c r="M22" i="1"/>
  <c r="M9" i="1"/>
  <c r="H2" i="2"/>
  <c r="J2" i="2" s="1"/>
  <c r="K2" i="2" s="1"/>
  <c r="H3" i="2"/>
  <c r="J3" i="2" s="1"/>
  <c r="K3" i="2" s="1"/>
  <c r="H9" i="2"/>
  <c r="J9" i="2" s="1"/>
  <c r="K9" i="2" s="1"/>
  <c r="H19" i="2"/>
  <c r="J19" i="2" s="1"/>
  <c r="K19" i="2" s="1"/>
  <c r="H34" i="2"/>
  <c r="J34" i="2" s="1"/>
  <c r="K34" i="2" s="1"/>
  <c r="H43" i="2"/>
  <c r="J43" i="2" s="1"/>
  <c r="K43" i="2" s="1"/>
  <c r="H8" i="2"/>
  <c r="J8" i="2" s="1"/>
  <c r="K8" i="2" s="1"/>
  <c r="H18" i="2"/>
  <c r="J18" i="2" s="1"/>
  <c r="K18" i="2" s="1"/>
  <c r="H31" i="2"/>
  <c r="J31" i="2" s="1"/>
  <c r="K31" i="2" s="1"/>
  <c r="H32" i="2"/>
  <c r="J32" i="2"/>
  <c r="K32" i="2" s="1"/>
  <c r="H33" i="2"/>
  <c r="J33" i="2" s="1"/>
  <c r="K33" i="2" s="1"/>
  <c r="H39" i="2"/>
  <c r="J39" i="2" s="1"/>
  <c r="K39" i="2" s="1"/>
  <c r="H40" i="2"/>
  <c r="J40" i="2" s="1"/>
  <c r="K40" i="2" s="1"/>
  <c r="H41" i="2"/>
  <c r="J41" i="2" s="1"/>
  <c r="K41" i="2" s="1"/>
  <c r="H42" i="2"/>
  <c r="J42" i="2" s="1"/>
  <c r="K42" i="2" s="1"/>
  <c r="H47" i="2"/>
  <c r="J47" i="2" s="1"/>
  <c r="K47" i="2" s="1"/>
  <c r="H5" i="2"/>
  <c r="J5" i="2" s="1"/>
  <c r="K5" i="2" s="1"/>
  <c r="H25" i="2"/>
  <c r="J25" i="2" s="1"/>
  <c r="K25" i="2" s="1"/>
  <c r="H3" i="5"/>
  <c r="J3" i="5" s="1"/>
  <c r="K3" i="5" s="1"/>
  <c r="H2" i="5"/>
  <c r="H5" i="10" s="1"/>
  <c r="H4" i="5"/>
  <c r="J4" i="5"/>
  <c r="K4" i="5"/>
  <c r="H5" i="5"/>
  <c r="J5" i="5"/>
  <c r="K5" i="5"/>
  <c r="H6" i="5"/>
  <c r="J6" i="5"/>
  <c r="K6" i="5"/>
  <c r="H7" i="5"/>
  <c r="J7" i="5"/>
  <c r="K7" i="5" s="1"/>
  <c r="H8" i="5"/>
  <c r="H6" i="10" s="1"/>
  <c r="J8" i="5"/>
  <c r="K8" i="5" s="1"/>
  <c r="H9" i="5"/>
  <c r="J9" i="5"/>
  <c r="K9" i="5"/>
  <c r="H10" i="5"/>
  <c r="J10" i="5" s="1"/>
  <c r="K10" i="5" s="1"/>
  <c r="H11" i="5"/>
  <c r="J11" i="5" s="1"/>
  <c r="K11" i="5" s="1"/>
  <c r="H12" i="5"/>
  <c r="J12" i="5"/>
  <c r="K12" i="5"/>
  <c r="H13" i="5"/>
  <c r="J13" i="5"/>
  <c r="K13" i="5"/>
  <c r="H14" i="5"/>
  <c r="J14" i="5"/>
  <c r="K14" i="5"/>
  <c r="H15" i="5"/>
  <c r="J15" i="5"/>
  <c r="K15" i="5" s="1"/>
  <c r="H16" i="5"/>
  <c r="H7" i="10" s="1"/>
  <c r="J16" i="5"/>
  <c r="K16" i="5" s="1"/>
  <c r="H17" i="5"/>
  <c r="J17" i="5"/>
  <c r="K17" i="5"/>
  <c r="D7" i="11" l="1"/>
  <c r="D5" i="11"/>
  <c r="H7" i="11"/>
  <c r="H4" i="11" s="1"/>
  <c r="M5" i="10"/>
  <c r="N5" i="10" s="1"/>
  <c r="H4" i="10"/>
  <c r="K4" i="10"/>
  <c r="L4" i="10"/>
  <c r="B4" i="10"/>
  <c r="C4" i="10"/>
  <c r="J39" i="5"/>
  <c r="K39" i="5" s="1"/>
  <c r="J2" i="5"/>
  <c r="K2" i="5" s="1"/>
  <c r="N224" i="6"/>
  <c r="D5" i="10"/>
  <c r="D6" i="10"/>
  <c r="E6" i="10" s="1"/>
  <c r="D7" i="10"/>
  <c r="M6" i="10"/>
  <c r="N6" i="10" s="1"/>
  <c r="M7" i="10"/>
  <c r="N7" i="10" s="1"/>
  <c r="M8" i="10"/>
  <c r="N8" i="10" s="1"/>
  <c r="D8" i="10"/>
  <c r="E8" i="10" s="1"/>
  <c r="F7" i="10"/>
  <c r="F4" i="10" s="1"/>
  <c r="G7" i="10"/>
  <c r="G4" i="10" s="1"/>
  <c r="I8" i="10"/>
  <c r="J8" i="10" s="1"/>
  <c r="I6" i="10"/>
  <c r="J6" i="10" s="1"/>
  <c r="I5" i="10"/>
  <c r="J5" i="10" s="1"/>
  <c r="D4" i="11" l="1"/>
  <c r="M4" i="10"/>
  <c r="N4" i="10"/>
  <c r="S8" i="10"/>
  <c r="S6" i="10"/>
  <c r="I4" i="10"/>
  <c r="E5" i="10"/>
  <c r="S5" i="10" s="1"/>
  <c r="D4" i="10"/>
  <c r="E4" i="10" s="1"/>
  <c r="E7" i="10"/>
  <c r="I7" i="10"/>
  <c r="J7" i="10" s="1"/>
  <c r="J4" i="10" l="1"/>
  <c r="S4" i="10" s="1"/>
  <c r="S7" i="10"/>
</calcChain>
</file>

<file path=xl/sharedStrings.xml><?xml version="1.0" encoding="utf-8"?>
<sst xmlns="http://schemas.openxmlformats.org/spreadsheetml/2006/main" count="6868" uniqueCount="454">
  <si>
    <t>約定日</t>
  </si>
  <si>
    <t>受渡日</t>
  </si>
  <si>
    <t>銘柄コード</t>
  </si>
  <si>
    <t>銘柄名</t>
  </si>
  <si>
    <t>口座区分</t>
  </si>
  <si>
    <t>取引区分</t>
  </si>
  <si>
    <t>売買区分</t>
  </si>
  <si>
    <t>信用区分</t>
  </si>
  <si>
    <t>弁済期限</t>
  </si>
  <si>
    <t>数量［株］</t>
  </si>
  <si>
    <t>単価［円］</t>
  </si>
  <si>
    <t>手数料［円］</t>
  </si>
  <si>
    <t>税金等［円］</t>
  </si>
  <si>
    <t>諸費用［円］</t>
  </si>
  <si>
    <t>税区分</t>
  </si>
  <si>
    <t>受渡金額［円］</t>
  </si>
  <si>
    <t>建約定日</t>
  </si>
  <si>
    <t>建単価［円］</t>
  </si>
  <si>
    <t>建手数料［円］</t>
  </si>
  <si>
    <t>建手数料消費税［円］</t>
  </si>
  <si>
    <t>金利（支払）〔円〕</t>
  </si>
  <si>
    <t>金利（受取）〔円〕</t>
  </si>
  <si>
    <t>逆日歩／特別空売り料（支払）〔円〕</t>
  </si>
  <si>
    <t>逆日歩（受取）〔円〕</t>
  </si>
  <si>
    <t>貸株料</t>
  </si>
  <si>
    <t>事務管理費〔円〕（税抜）</t>
  </si>
  <si>
    <t>名義書換料〔円〕（税抜）</t>
  </si>
  <si>
    <t>マンダム</t>
  </si>
  <si>
    <t>NISA</t>
  </si>
  <si>
    <t>現物</t>
  </si>
  <si>
    <t>買付</t>
  </si>
  <si>
    <t>-</t>
  </si>
  <si>
    <t>ドトール・日レスＨＤ</t>
  </si>
  <si>
    <t>東レ</t>
  </si>
  <si>
    <t>三菱重工業</t>
  </si>
  <si>
    <t>キヤノン</t>
  </si>
  <si>
    <t>大日本印刷</t>
  </si>
  <si>
    <t>三菱ＵＦＪフィナンシャルＧ</t>
  </si>
  <si>
    <t>大林組</t>
  </si>
  <si>
    <t>日揮ホールディングス</t>
  </si>
  <si>
    <t>タカラトミー</t>
  </si>
  <si>
    <t>売付</t>
  </si>
  <si>
    <t>武田薬品</t>
  </si>
  <si>
    <t>ＡＧＣ</t>
  </si>
  <si>
    <t>東京海上ＨＤ</t>
  </si>
  <si>
    <t>電通グループ</t>
  </si>
  <si>
    <t>入金日</t>
  </si>
  <si>
    <t>商品</t>
  </si>
  <si>
    <t>銘柄</t>
  </si>
  <si>
    <t>数量[株/口]</t>
  </si>
  <si>
    <t>国内株式</t>
  </si>
  <si>
    <t>大林組</t>
    <phoneticPr fontId="18"/>
  </si>
  <si>
    <t>口座区分</t>
    <rPh sb="2" eb="4">
      <t>クブン</t>
    </rPh>
    <phoneticPr fontId="18"/>
  </si>
  <si>
    <t>SPYD</t>
  </si>
  <si>
    <t>SPDR SP500 H DIV</t>
  </si>
  <si>
    <t>KO</t>
  </si>
  <si>
    <t>COCA COLA CO.</t>
  </si>
  <si>
    <t>XOM</t>
  </si>
  <si>
    <t>EXXONMOBIL</t>
  </si>
  <si>
    <t>JNJ</t>
  </si>
  <si>
    <t>JOHNSON&amp;JOHNSON</t>
  </si>
  <si>
    <t>単価[USD]</t>
    <phoneticPr fontId="18"/>
  </si>
  <si>
    <t>配当・分配金合計（税引前）[USD]</t>
    <phoneticPr fontId="18"/>
  </si>
  <si>
    <t>税額合計[USD]</t>
    <phoneticPr fontId="18"/>
  </si>
  <si>
    <t>受取金額[USD]</t>
    <phoneticPr fontId="18"/>
  </si>
  <si>
    <t>MMM</t>
  </si>
  <si>
    <t>3M COMPANY</t>
  </si>
  <si>
    <t>特定</t>
  </si>
  <si>
    <t>特定</t>
    <phoneticPr fontId="18"/>
  </si>
  <si>
    <t>川崎重工業</t>
  </si>
  <si>
    <t>乾汽船</t>
  </si>
  <si>
    <t>ＫＤＤＩ</t>
  </si>
  <si>
    <t>三菱商事</t>
  </si>
  <si>
    <t>明治ホールディングス</t>
  </si>
  <si>
    <t>日鉄物産</t>
  </si>
  <si>
    <t>ライオン</t>
  </si>
  <si>
    <t>森永製菓</t>
  </si>
  <si>
    <t>サンマルクホールディングス</t>
  </si>
  <si>
    <t>配当・分配金合計（税引前）[円]</t>
    <phoneticPr fontId="18"/>
  </si>
  <si>
    <t>税額合計[円]</t>
    <phoneticPr fontId="18"/>
  </si>
  <si>
    <t>受取金額[円]</t>
    <phoneticPr fontId="18"/>
  </si>
  <si>
    <t>単価[円]</t>
    <phoneticPr fontId="18"/>
  </si>
  <si>
    <t>米国株式</t>
    <rPh sb="0" eb="2">
      <t>ベイコク</t>
    </rPh>
    <phoneticPr fontId="18"/>
  </si>
  <si>
    <t>ぴあ</t>
  </si>
  <si>
    <t>信用新規</t>
  </si>
  <si>
    <t>売建</t>
  </si>
  <si>
    <t>制度</t>
  </si>
  <si>
    <t>6ヶ月</t>
  </si>
  <si>
    <t>信用返済</t>
  </si>
  <si>
    <t>買埋</t>
  </si>
  <si>
    <t>源徴あり</t>
  </si>
  <si>
    <t>商船三井</t>
  </si>
  <si>
    <t>川崎汽船</t>
  </si>
  <si>
    <t>ソフトバンクグループ</t>
  </si>
  <si>
    <t>日本郵船</t>
  </si>
  <si>
    <t>花王</t>
  </si>
  <si>
    <t>トヨタ自動車</t>
  </si>
  <si>
    <t>ジャックス</t>
  </si>
  <si>
    <t>塩野義製薬</t>
  </si>
  <si>
    <t>森永乳業</t>
  </si>
  <si>
    <t>信越化学</t>
  </si>
  <si>
    <t>キリンＨＤ</t>
  </si>
  <si>
    <t>三菱ケミカルＨＬＤＧＳ</t>
  </si>
  <si>
    <t>コロワイド</t>
  </si>
  <si>
    <t>シャープ</t>
  </si>
  <si>
    <t>クラレ</t>
  </si>
  <si>
    <t>ＥＮＥＯＳホールディングス</t>
  </si>
  <si>
    <t>日本たばこ産業</t>
  </si>
  <si>
    <t>良品計画</t>
  </si>
  <si>
    <t>リコー</t>
  </si>
  <si>
    <t>トリドールホールディングス</t>
  </si>
  <si>
    <t>東京電力ホールディングス</t>
  </si>
  <si>
    <t>コクヨ</t>
  </si>
  <si>
    <t>住友化学</t>
  </si>
  <si>
    <t>サントリー食品インター</t>
  </si>
  <si>
    <t>三菱地所</t>
  </si>
  <si>
    <t>堺化学</t>
  </si>
  <si>
    <t>京浜急行</t>
  </si>
  <si>
    <t>電源開発</t>
  </si>
  <si>
    <t>ロート製薬</t>
  </si>
  <si>
    <t>ＡＮＡホールディングス</t>
  </si>
  <si>
    <t>ワコールホールディングス</t>
  </si>
  <si>
    <t>ヤマハ</t>
  </si>
  <si>
    <t>東日本旅客鉄道</t>
  </si>
  <si>
    <t>京セラ</t>
  </si>
  <si>
    <t>入庫</t>
  </si>
  <si>
    <t>ＩＨＩ</t>
  </si>
  <si>
    <t>エフピコ</t>
  </si>
  <si>
    <t>ブリヂストン</t>
  </si>
  <si>
    <t>アルコニックス</t>
  </si>
  <si>
    <t>オリンパス</t>
  </si>
  <si>
    <t>東宝</t>
  </si>
  <si>
    <t>ティッカー</t>
  </si>
  <si>
    <t>決済通貨</t>
  </si>
  <si>
    <t>為替レート</t>
  </si>
  <si>
    <t>円</t>
  </si>
  <si>
    <t>VTI</t>
  </si>
  <si>
    <t>VANGUARD TTL MKT</t>
  </si>
  <si>
    <t>ABBV</t>
  </si>
  <si>
    <t>ABBVIE INC</t>
  </si>
  <si>
    <t>JPM</t>
  </si>
  <si>
    <t>JP MORGAN CHASE</t>
  </si>
  <si>
    <t>HUN</t>
  </si>
  <si>
    <t>HUNTSMAN CORP</t>
  </si>
  <si>
    <t>EPI</t>
  </si>
  <si>
    <t>WT INDIA EARNING</t>
  </si>
  <si>
    <t>USD</t>
    <phoneticPr fontId="18"/>
  </si>
  <si>
    <t>単価［USD］</t>
    <phoneticPr fontId="18"/>
  </si>
  <si>
    <t>約定代金［USD］</t>
    <phoneticPr fontId="18"/>
  </si>
  <si>
    <t>税金［USD］</t>
    <phoneticPr fontId="18"/>
  </si>
  <si>
    <t>手数料［USD］</t>
    <phoneticPr fontId="18"/>
  </si>
  <si>
    <t>受渡金額［USD］</t>
    <phoneticPr fontId="18"/>
  </si>
  <si>
    <t>ファンド名</t>
  </si>
  <si>
    <t>分配金</t>
  </si>
  <si>
    <t>取引</t>
  </si>
  <si>
    <t>買付方法</t>
  </si>
  <si>
    <t>数量［口］</t>
  </si>
  <si>
    <t>単価</t>
  </si>
  <si>
    <t>eMAXIS Slim 米国株式(S&amp;P500)</t>
  </si>
  <si>
    <t>再投資型</t>
  </si>
  <si>
    <t>通常</t>
  </si>
  <si>
    <t>iFreeNEXT NASDAQ100インデックス</t>
  </si>
  <si>
    <t>iFreeNEXT FANG+インデックス</t>
  </si>
  <si>
    <t>eMAXIS Neo 宇宙開発</t>
  </si>
  <si>
    <t>受渡金額[円]</t>
    <phoneticPr fontId="18"/>
  </si>
  <si>
    <t>実現損益[円]</t>
    <rPh sb="0" eb="2">
      <t>ジツゲン</t>
    </rPh>
    <rPh sb="2" eb="4">
      <t>ソンエキ</t>
    </rPh>
    <rPh sb="5" eb="6">
      <t>エン</t>
    </rPh>
    <phoneticPr fontId="18"/>
  </si>
  <si>
    <t>銘柄名</t>
    <rPh sb="2" eb="3">
      <t>メイ</t>
    </rPh>
    <phoneticPr fontId="18"/>
  </si>
  <si>
    <t>花王</t>
    <rPh sb="0" eb="2">
      <t>カオウ</t>
    </rPh>
    <phoneticPr fontId="18"/>
  </si>
  <si>
    <t>商船三井</t>
    <rPh sb="0" eb="2">
      <t>ショウセン</t>
    </rPh>
    <rPh sb="2" eb="4">
      <t>ミツイ</t>
    </rPh>
    <phoneticPr fontId="18"/>
  </si>
  <si>
    <t>日本郵船</t>
    <rPh sb="0" eb="2">
      <t>ニホン</t>
    </rPh>
    <rPh sb="2" eb="4">
      <t>ユウセン</t>
    </rPh>
    <phoneticPr fontId="18"/>
  </si>
  <si>
    <t/>
  </si>
  <si>
    <t>実現損益[USD]</t>
    <rPh sb="0" eb="2">
      <t>ジツゲン</t>
    </rPh>
    <rPh sb="2" eb="4">
      <t>ソンエキ</t>
    </rPh>
    <phoneticPr fontId="18"/>
  </si>
  <si>
    <t>HUNTSMAN CORP</t>
    <phoneticPr fontId="18"/>
  </si>
  <si>
    <t>HUN</t>
    <phoneticPr fontId="18"/>
  </si>
  <si>
    <t>任天堂</t>
    <rPh sb="0" eb="3">
      <t>ニンテンドウ</t>
    </rPh>
    <phoneticPr fontId="18"/>
  </si>
  <si>
    <t>現物</t>
    <phoneticPr fontId="18"/>
  </si>
  <si>
    <t>買付</t>
    <phoneticPr fontId="18"/>
  </si>
  <si>
    <t>-</t>
    <phoneticPr fontId="18"/>
  </si>
  <si>
    <t>売付</t>
    <phoneticPr fontId="18"/>
  </si>
  <si>
    <t>アステラス製薬</t>
    <rPh sb="5" eb="7">
      <t>セイヤク</t>
    </rPh>
    <phoneticPr fontId="18"/>
  </si>
  <si>
    <t>日本製鉄</t>
    <rPh sb="0" eb="2">
      <t>ニホン</t>
    </rPh>
    <rPh sb="2" eb="4">
      <t>セイテツ</t>
    </rPh>
    <phoneticPr fontId="18"/>
  </si>
  <si>
    <t>日本曹達</t>
    <rPh sb="0" eb="2">
      <t>ニホン</t>
    </rPh>
    <rPh sb="2" eb="3">
      <t>ソウ</t>
    </rPh>
    <rPh sb="3" eb="4">
      <t>タツ</t>
    </rPh>
    <phoneticPr fontId="18"/>
  </si>
  <si>
    <t>電通グループ</t>
    <rPh sb="0" eb="2">
      <t>デンツウ</t>
    </rPh>
    <phoneticPr fontId="18"/>
  </si>
  <si>
    <t>川崎重工業</t>
    <phoneticPr fontId="18"/>
  </si>
  <si>
    <t>ジャックス</t>
    <phoneticPr fontId="18"/>
  </si>
  <si>
    <t>長谷川香料</t>
    <rPh sb="0" eb="3">
      <t>ハセガワ</t>
    </rPh>
    <rPh sb="3" eb="5">
      <t>コウリョウ</t>
    </rPh>
    <phoneticPr fontId="18"/>
  </si>
  <si>
    <t>ブリヂストン</t>
    <phoneticPr fontId="18"/>
  </si>
  <si>
    <t>フェローテックHD</t>
    <phoneticPr fontId="18"/>
  </si>
  <si>
    <t>出光興産</t>
    <rPh sb="0" eb="4">
      <t>イデミツコウサン</t>
    </rPh>
    <phoneticPr fontId="18"/>
  </si>
  <si>
    <t>三菱HCキャピタル</t>
    <rPh sb="0" eb="2">
      <t>ミツビシ</t>
    </rPh>
    <phoneticPr fontId="18"/>
  </si>
  <si>
    <t>ニチアス</t>
    <phoneticPr fontId="18"/>
  </si>
  <si>
    <t>商船三井</t>
    <phoneticPr fontId="18"/>
  </si>
  <si>
    <t>信越化学</t>
    <rPh sb="0" eb="2">
      <t>シンエツ</t>
    </rPh>
    <rPh sb="2" eb="4">
      <t>カガク</t>
    </rPh>
    <phoneticPr fontId="18"/>
  </si>
  <si>
    <t>イオン</t>
    <phoneticPr fontId="18"/>
  </si>
  <si>
    <t>TOTO</t>
    <phoneticPr fontId="18"/>
  </si>
  <si>
    <t>三井物産</t>
    <rPh sb="0" eb="2">
      <t>ミツイ</t>
    </rPh>
    <rPh sb="2" eb="4">
      <t>ブッサン</t>
    </rPh>
    <phoneticPr fontId="18"/>
  </si>
  <si>
    <t>住友林業</t>
    <rPh sb="0" eb="2">
      <t>スミトモ</t>
    </rPh>
    <rPh sb="2" eb="4">
      <t>リンギョウ</t>
    </rPh>
    <phoneticPr fontId="18"/>
  </si>
  <si>
    <t>双日</t>
    <rPh sb="0" eb="2">
      <t>ソウジツ</t>
    </rPh>
    <phoneticPr fontId="18"/>
  </si>
  <si>
    <t>東宝</t>
    <rPh sb="0" eb="2">
      <t>トウホウ</t>
    </rPh>
    <phoneticPr fontId="18"/>
  </si>
  <si>
    <t>ファナック</t>
    <phoneticPr fontId="18"/>
  </si>
  <si>
    <t>中外製薬</t>
    <rPh sb="0" eb="2">
      <t>チュウガイ</t>
    </rPh>
    <rPh sb="2" eb="4">
      <t>セイヤク</t>
    </rPh>
    <phoneticPr fontId="18"/>
  </si>
  <si>
    <t>エフピコ</t>
    <phoneticPr fontId="18"/>
  </si>
  <si>
    <t>味の素</t>
    <rPh sb="0" eb="1">
      <t>アジ</t>
    </rPh>
    <rPh sb="2" eb="3">
      <t>モト</t>
    </rPh>
    <phoneticPr fontId="18"/>
  </si>
  <si>
    <t>伊藤忠</t>
    <rPh sb="0" eb="3">
      <t>イトウチュウ</t>
    </rPh>
    <phoneticPr fontId="18"/>
  </si>
  <si>
    <t>住友林業</t>
    <rPh sb="0" eb="4">
      <t>スミトモリンギョウ</t>
    </rPh>
    <phoneticPr fontId="18"/>
  </si>
  <si>
    <t>信用配当落調整金</t>
    <phoneticPr fontId="18"/>
  </si>
  <si>
    <t>プラス</t>
    <phoneticPr fontId="18"/>
  </si>
  <si>
    <t>マイナス</t>
    <phoneticPr fontId="18"/>
  </si>
  <si>
    <t>2021年</t>
    <rPh sb="4" eb="5">
      <t>ネン</t>
    </rPh>
    <phoneticPr fontId="18"/>
  </si>
  <si>
    <t>2022年</t>
    <rPh sb="4" eb="5">
      <t>ネン</t>
    </rPh>
    <phoneticPr fontId="18"/>
  </si>
  <si>
    <t>2023年</t>
    <rPh sb="4" eb="5">
      <t>ネン</t>
    </rPh>
    <phoneticPr fontId="18"/>
  </si>
  <si>
    <t>配当金</t>
    <rPh sb="0" eb="2">
      <t>ハイトウ</t>
    </rPh>
    <rPh sb="2" eb="3">
      <t>キン</t>
    </rPh>
    <phoneticPr fontId="18"/>
  </si>
  <si>
    <t>通常売買</t>
    <rPh sb="0" eb="2">
      <t>ツウジョウ</t>
    </rPh>
    <rPh sb="2" eb="4">
      <t>バイバイ</t>
    </rPh>
    <phoneticPr fontId="18"/>
  </si>
  <si>
    <t>NISA</t>
    <phoneticPr fontId="18"/>
  </si>
  <si>
    <t>合計</t>
    <rPh sb="0" eb="2">
      <t>ゴウケイ</t>
    </rPh>
    <phoneticPr fontId="18"/>
  </si>
  <si>
    <t>累計</t>
    <rPh sb="0" eb="2">
      <t>ルイケイ</t>
    </rPh>
    <phoneticPr fontId="18"/>
  </si>
  <si>
    <t>国内株式_特定口座</t>
    <rPh sb="0" eb="2">
      <t>コクナイ</t>
    </rPh>
    <rPh sb="2" eb="4">
      <t>カブシキ</t>
    </rPh>
    <rPh sb="5" eb="7">
      <t>トクテイ</t>
    </rPh>
    <rPh sb="7" eb="9">
      <t>コウザ</t>
    </rPh>
    <phoneticPr fontId="18"/>
  </si>
  <si>
    <t>税引後
合計</t>
    <rPh sb="0" eb="2">
      <t>ゼイビキ</t>
    </rPh>
    <rPh sb="2" eb="3">
      <t>ゴ</t>
    </rPh>
    <rPh sb="4" eb="6">
      <t>ゴウケイ</t>
    </rPh>
    <phoneticPr fontId="18"/>
  </si>
  <si>
    <t>国内株式_信用口座</t>
    <rPh sb="0" eb="2">
      <t>コクナイ</t>
    </rPh>
    <rPh sb="2" eb="4">
      <t>カブシキ</t>
    </rPh>
    <rPh sb="5" eb="7">
      <t>シンヨウ</t>
    </rPh>
    <rPh sb="7" eb="9">
      <t>コウザ</t>
    </rPh>
    <phoneticPr fontId="18"/>
  </si>
  <si>
    <t>全</t>
    <rPh sb="0" eb="1">
      <t>ゼン</t>
    </rPh>
    <phoneticPr fontId="18"/>
  </si>
  <si>
    <t>オリエンタルランド</t>
    <phoneticPr fontId="18"/>
  </si>
  <si>
    <t>アサヒグループHD</t>
    <phoneticPr fontId="18"/>
  </si>
  <si>
    <t>積水ハウス</t>
    <rPh sb="0" eb="2">
      <t>セキスイ</t>
    </rPh>
    <phoneticPr fontId="18"/>
  </si>
  <si>
    <t>エーザイ</t>
    <phoneticPr fontId="18"/>
  </si>
  <si>
    <t>ニッタ</t>
    <phoneticPr fontId="18"/>
  </si>
  <si>
    <t>ADEKA</t>
    <phoneticPr fontId="18"/>
  </si>
  <si>
    <t>三井化学</t>
    <rPh sb="0" eb="2">
      <t>ミツイ</t>
    </rPh>
    <rPh sb="2" eb="4">
      <t>カガク</t>
    </rPh>
    <phoneticPr fontId="18"/>
  </si>
  <si>
    <t>長瀬産業</t>
    <rPh sb="0" eb="2">
      <t>ナガセ</t>
    </rPh>
    <rPh sb="2" eb="4">
      <t>サンギョウ</t>
    </rPh>
    <phoneticPr fontId="18"/>
  </si>
  <si>
    <t>三井住友フィナンシャルG</t>
    <rPh sb="0" eb="4">
      <t>ミツイスミトモ</t>
    </rPh>
    <phoneticPr fontId="18"/>
  </si>
  <si>
    <t>日本航空</t>
    <rPh sb="0" eb="2">
      <t>ニホン</t>
    </rPh>
    <rPh sb="2" eb="4">
      <t>コウクウ</t>
    </rPh>
    <phoneticPr fontId="18"/>
  </si>
  <si>
    <t>iFreeNEXT インド株インデックス</t>
    <rPh sb="13" eb="14">
      <t>カブ</t>
    </rPh>
    <phoneticPr fontId="18"/>
  </si>
  <si>
    <t>入庫</t>
    <phoneticPr fontId="18"/>
  </si>
  <si>
    <t>2024年</t>
    <rPh sb="4" eb="5">
      <t>ネン</t>
    </rPh>
    <phoneticPr fontId="18"/>
  </si>
  <si>
    <t>入庫</t>
    <rPh sb="0" eb="2">
      <t>ニュウコ</t>
    </rPh>
    <phoneticPr fontId="18"/>
  </si>
  <si>
    <t>GDX</t>
    <phoneticPr fontId="18"/>
  </si>
  <si>
    <t>V GOLD MINERS</t>
    <phoneticPr fontId="18"/>
  </si>
  <si>
    <t>ジーエルサイエンス</t>
    <phoneticPr fontId="18"/>
  </si>
  <si>
    <t>NISA成長投資枠</t>
    <phoneticPr fontId="18"/>
  </si>
  <si>
    <t>アルトナー</t>
    <phoneticPr fontId="18"/>
  </si>
  <si>
    <t>ソシオネクスト</t>
    <phoneticPr fontId="18"/>
  </si>
  <si>
    <t>アイティメディア</t>
    <phoneticPr fontId="18"/>
  </si>
  <si>
    <t>東京エレクトロンデバイス</t>
    <rPh sb="0" eb="2">
      <t>トウキョウ</t>
    </rPh>
    <phoneticPr fontId="18"/>
  </si>
  <si>
    <t>アドバンテスト</t>
    <phoneticPr fontId="18"/>
  </si>
  <si>
    <t>トヨタ自動車</t>
    <rPh sb="3" eb="6">
      <t>ジドウシャ</t>
    </rPh>
    <phoneticPr fontId="18"/>
  </si>
  <si>
    <t>ＳＣＲＥＥＮホールディングス</t>
    <phoneticPr fontId="18"/>
  </si>
  <si>
    <t>MSFT</t>
    <phoneticPr fontId="18"/>
  </si>
  <si>
    <t>ディー・エヌ・エー</t>
    <phoneticPr fontId="18"/>
  </si>
  <si>
    <t>MICROSOFT CORP.</t>
    <phoneticPr fontId="18"/>
  </si>
  <si>
    <t>さくらインターネット</t>
  </si>
  <si>
    <t>堀場製作所</t>
    <rPh sb="0" eb="5">
      <t>ホリバセイサクショ</t>
    </rPh>
    <phoneticPr fontId="18"/>
  </si>
  <si>
    <t>ＮＴＴデータグループ</t>
    <phoneticPr fontId="18"/>
  </si>
  <si>
    <t>第一生命ホールディングス</t>
    <rPh sb="0" eb="2">
      <t>ダイイチ</t>
    </rPh>
    <rPh sb="2" eb="4">
      <t>セイメイ</t>
    </rPh>
    <phoneticPr fontId="18"/>
  </si>
  <si>
    <t>サッポロホールディングス</t>
  </si>
  <si>
    <t>東京エレクトロン</t>
    <rPh sb="0" eb="2">
      <t>トウキョウ</t>
    </rPh>
    <phoneticPr fontId="18"/>
  </si>
  <si>
    <t>野村マイクロ・サイエンス</t>
    <rPh sb="0" eb="2">
      <t>ノムラ</t>
    </rPh>
    <phoneticPr fontId="18"/>
  </si>
  <si>
    <t>ALPHABET INC-A</t>
  </si>
  <si>
    <t>GOOGL</t>
    <phoneticPr fontId="18"/>
  </si>
  <si>
    <t>NISA成長投資枠</t>
  </si>
  <si>
    <t>旧NISA</t>
  </si>
  <si>
    <t>コクヨ</t>
    <phoneticPr fontId="18"/>
  </si>
  <si>
    <t>ispace</t>
    <phoneticPr fontId="18"/>
  </si>
  <si>
    <t>フコク</t>
    <phoneticPr fontId="18"/>
  </si>
  <si>
    <t>ＳＯＭＰＯホールディングス</t>
    <phoneticPr fontId="18"/>
  </si>
  <si>
    <t>東京瓦斯</t>
    <phoneticPr fontId="18"/>
  </si>
  <si>
    <t>ヒューリック</t>
    <phoneticPr fontId="18"/>
  </si>
  <si>
    <t>タカラトミー</t>
    <phoneticPr fontId="18"/>
  </si>
  <si>
    <t>森永製菓</t>
    <phoneticPr fontId="18"/>
  </si>
  <si>
    <t>ソフトバンクグループ</t>
    <phoneticPr fontId="18"/>
  </si>
  <si>
    <t>山口フィナンシャルＧ</t>
  </si>
  <si>
    <t>川崎汽船</t>
    <phoneticPr fontId="18"/>
  </si>
  <si>
    <t>トーメンデバイス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</si>
  <si>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</si>
  <si>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</si>
  <si>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</si>
  <si>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</si>
  <si>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マネックスＧ</t>
    <phoneticPr fontId="18"/>
  </si>
  <si>
    <t>TESLA INC</t>
    <phoneticPr fontId="18"/>
  </si>
  <si>
    <t>TSLA</t>
    <phoneticPr fontId="18"/>
  </si>
  <si>
    <t>-</t>
    <phoneticPr fontId="18"/>
  </si>
  <si>
    <t>湖北工業</t>
    <rPh sb="0" eb="2">
      <t>コホク</t>
    </rPh>
    <rPh sb="2" eb="4">
      <t>コウギョウ</t>
    </rPh>
    <phoneticPr fontId="18"/>
  </si>
  <si>
    <t>コスモエネルギーＨＬＤＧＳ</t>
    <phoneticPr fontId="18"/>
  </si>
  <si>
    <t>-</t>
    <phoneticPr fontId="18"/>
  </si>
  <si>
    <t xml:space="preserve">	
eMAXIS Slim 全世界株式(オール・カントリー)</t>
    <phoneticPr fontId="18"/>
  </si>
  <si>
    <t>NISAつみたて投資枠</t>
    <phoneticPr fontId="18"/>
  </si>
  <si>
    <t>積立</t>
    <rPh sb="0" eb="2">
      <t>ツミタテ</t>
    </rPh>
    <phoneticPr fontId="18"/>
  </si>
  <si>
    <t>三菱ＵＦＪフィナンシャルＧ</t>
    <phoneticPr fontId="18"/>
  </si>
  <si>
    <t>-</t>
    <phoneticPr fontId="18"/>
  </si>
  <si>
    <t>買付</t>
    <phoneticPr fontId="18"/>
  </si>
  <si>
    <t>-</t>
    <phoneticPr fontId="18"/>
  </si>
  <si>
    <t>出庫</t>
    <rPh sb="0" eb="2">
      <t>シュッコ</t>
    </rPh>
    <phoneticPr fontId="18"/>
  </si>
  <si>
    <t>三菱重工業</t>
    <phoneticPr fontId="18"/>
  </si>
  <si>
    <t>2025年</t>
    <rPh sb="4" eb="5">
      <t>ネン</t>
    </rPh>
    <phoneticPr fontId="18"/>
  </si>
  <si>
    <t>PLTA</t>
    <phoneticPr fontId="18"/>
  </si>
  <si>
    <t>パランティア・テクノロジーズ</t>
    <phoneticPr fontId="18"/>
  </si>
  <si>
    <t>特定</t>
    <phoneticPr fontId="18"/>
  </si>
  <si>
    <t>旧NISA</t>
    <rPh sb="0" eb="1">
      <t>キュウ</t>
    </rPh>
    <phoneticPr fontId="18"/>
  </si>
  <si>
    <t>入庫</t>
    <rPh sb="0" eb="2">
      <t>ニュウコ</t>
    </rPh>
    <phoneticPr fontId="18"/>
  </si>
  <si>
    <t>-</t>
    <phoneticPr fontId="18"/>
  </si>
  <si>
    <t>売却</t>
    <rPh sb="0" eb="2">
      <t>バイキャク</t>
    </rPh>
    <phoneticPr fontId="18"/>
  </si>
  <si>
    <t>-</t>
    <phoneticPr fontId="18"/>
  </si>
  <si>
    <t>積水化学</t>
    <rPh sb="0" eb="2">
      <t>セキスイ</t>
    </rPh>
    <rPh sb="2" eb="4">
      <t>カガク</t>
    </rPh>
    <phoneticPr fontId="18"/>
  </si>
  <si>
    <t>-</t>
    <phoneticPr fontId="18"/>
  </si>
  <si>
    <t>投資信託</t>
    <rPh sb="0" eb="2">
      <t>トウシ</t>
    </rPh>
    <rPh sb="2" eb="4">
      <t>シンタク</t>
    </rPh>
    <phoneticPr fontId="18"/>
  </si>
  <si>
    <t>-</t>
    <phoneticPr fontId="18"/>
  </si>
  <si>
    <t>-</t>
    <phoneticPr fontId="18"/>
  </si>
  <si>
    <t>NISA</t>
    <phoneticPr fontId="18"/>
  </si>
  <si>
    <t>-</t>
    <phoneticPr fontId="18"/>
  </si>
  <si>
    <t>日本製鉄</t>
    <rPh sb="0" eb="2">
      <t>ニホン</t>
    </rPh>
    <rPh sb="2" eb="4">
      <t>セイテツ</t>
    </rPh>
    <phoneticPr fontId="18"/>
  </si>
  <si>
    <t>大和工業</t>
    <rPh sb="0" eb="2">
      <t>ダイワ</t>
    </rPh>
    <rPh sb="2" eb="4">
      <t>コウギョウ</t>
    </rPh>
    <phoneticPr fontId="18"/>
  </si>
  <si>
    <t>フジクラ</t>
    <phoneticPr fontId="18"/>
  </si>
  <si>
    <t>キムラユニティー</t>
    <phoneticPr fontId="18"/>
  </si>
  <si>
    <t>ホシザキ</t>
    <phoneticPr fontId="18"/>
  </si>
  <si>
    <t>東京地下鉄</t>
    <rPh sb="0" eb="2">
      <t>トウキョウ</t>
    </rPh>
    <rPh sb="2" eb="5">
      <t>チカテツ</t>
    </rPh>
    <phoneticPr fontId="18"/>
  </si>
  <si>
    <t>伊藤忠</t>
    <rPh sb="0" eb="3">
      <t>イトウチュウ</t>
    </rPh>
    <phoneticPr fontId="18"/>
  </si>
  <si>
    <t>-</t>
    <phoneticPr fontId="18"/>
  </si>
  <si>
    <t>-</t>
    <phoneticPr fontId="18"/>
  </si>
  <si>
    <t>SOFI</t>
    <phoneticPr fontId="18"/>
  </si>
  <si>
    <t>GDX</t>
    <phoneticPr fontId="18"/>
  </si>
  <si>
    <t>APP</t>
    <phoneticPr fontId="18"/>
  </si>
  <si>
    <t>BBAI</t>
    <phoneticPr fontId="18"/>
  </si>
  <si>
    <t>V GOLD MINERS</t>
    <phoneticPr fontId="18"/>
  </si>
  <si>
    <t>APPLOVIN CORP</t>
    <phoneticPr fontId="18"/>
  </si>
  <si>
    <t>BIGBEAR.AI HLD</t>
    <phoneticPr fontId="18"/>
  </si>
  <si>
    <t>SOFI TECHNOLOGY</t>
    <phoneticPr fontId="18"/>
  </si>
  <si>
    <t>-</t>
    <phoneticPr fontId="18"/>
  </si>
  <si>
    <t>関西ペイント</t>
    <rPh sb="0" eb="2">
      <t>カンサイ</t>
    </rPh>
    <phoneticPr fontId="18"/>
  </si>
  <si>
    <t>野村ホールディングス</t>
    <rPh sb="0" eb="2">
      <t>ノムラ</t>
    </rPh>
    <phoneticPr fontId="18"/>
  </si>
  <si>
    <t>-</t>
    <phoneticPr fontId="18"/>
  </si>
  <si>
    <t>ISHARES MSCI GER</t>
    <phoneticPr fontId="18"/>
  </si>
  <si>
    <t>EWG</t>
    <phoneticPr fontId="18"/>
  </si>
  <si>
    <t>-</t>
    <phoneticPr fontId="18"/>
  </si>
  <si>
    <t>ユー・エス・エス</t>
    <phoneticPr fontId="18"/>
  </si>
  <si>
    <t>バンダイナムコＨＬＤＧＳ</t>
    <phoneticPr fontId="18"/>
  </si>
  <si>
    <t>-</t>
    <phoneticPr fontId="18"/>
  </si>
  <si>
    <t>ＫＡＤＯＫＡＷＡ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</si>
  <si>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</si>
  <si>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</si>
  <si>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</si>
  <si>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</si>
  <si>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味の素</t>
    <rPh sb="0" eb="1">
      <t>アジ</t>
    </rPh>
    <rPh sb="2" eb="3">
      <t>モト</t>
    </rPh>
    <phoneticPr fontId="18"/>
  </si>
  <si>
    <t>-</t>
    <phoneticPr fontId="18"/>
  </si>
  <si>
    <t>メタプラネット</t>
    <phoneticPr fontId="18"/>
  </si>
  <si>
    <t>サンリオ</t>
    <phoneticPr fontId="18"/>
  </si>
  <si>
    <t>エムスリー</t>
    <phoneticPr fontId="18"/>
  </si>
  <si>
    <t>-</t>
    <phoneticPr fontId="18"/>
  </si>
  <si>
    <t>-</t>
    <phoneticPr fontId="18"/>
  </si>
  <si>
    <t>-</t>
    <phoneticPr fontId="18"/>
  </si>
  <si>
    <t>セキド</t>
    <phoneticPr fontId="18"/>
  </si>
  <si>
    <t>-</t>
    <phoneticPr fontId="18"/>
  </si>
  <si>
    <t>良品計画</t>
    <rPh sb="0" eb="4">
      <t>リョウヒンケイカク</t>
    </rPh>
    <phoneticPr fontId="18"/>
  </si>
  <si>
    <t>レーザーテック</t>
    <phoneticPr fontId="18"/>
  </si>
  <si>
    <t>ＡＣＳＬ</t>
    <phoneticPr fontId="18"/>
  </si>
  <si>
    <t>-</t>
    <phoneticPr fontId="18"/>
  </si>
  <si>
    <t>日本マクドナルドＨＬＤＧ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</si>
  <si>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</si>
  <si>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</si>
  <si>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</si>
  <si>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</si>
  <si>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東京エレクトロン</t>
    <rPh sb="0" eb="2">
      <t>トウキョウ</t>
    </rPh>
    <phoneticPr fontId="18"/>
  </si>
  <si>
    <t>-</t>
    <phoneticPr fontId="18"/>
  </si>
  <si>
    <t>-</t>
    <phoneticPr fontId="18"/>
  </si>
  <si>
    <t>投資開始日</t>
    <rPh sb="0" eb="2">
      <t>トウシ</t>
    </rPh>
    <rPh sb="2" eb="5">
      <t>カイシビ</t>
    </rPh>
    <phoneticPr fontId="18"/>
  </si>
  <si>
    <t>今日</t>
    <rPh sb="0" eb="2">
      <t>キョウ</t>
    </rPh>
    <phoneticPr fontId="18"/>
  </si>
  <si>
    <t>投資経験年数</t>
    <rPh sb="0" eb="4">
      <t>トウシケイケン</t>
    </rPh>
    <rPh sb="4" eb="6">
      <t>ネンスウ</t>
    </rPh>
    <phoneticPr fontId="18"/>
  </si>
  <si>
    <t>栗本鉄工所</t>
    <rPh sb="0" eb="2">
      <t>クリモト</t>
    </rPh>
    <rPh sb="2" eb="5">
      <t>テッコウショ</t>
    </rPh>
    <phoneticPr fontId="18"/>
  </si>
  <si>
    <t>-</t>
    <phoneticPr fontId="18"/>
  </si>
  <si>
    <t>304A</t>
    <phoneticPr fontId="18"/>
  </si>
  <si>
    <t>フォルシア</t>
    <phoneticPr fontId="18"/>
  </si>
  <si>
    <t>コスモエネルギーＨＬＤＧＳ</t>
    <phoneticPr fontId="18"/>
  </si>
  <si>
    <t>純プラチナ上場信託</t>
    <rPh sb="0" eb="1">
      <t>ジュン</t>
    </rPh>
    <rPh sb="5" eb="9">
      <t>ジョウジョウシンタク</t>
    </rPh>
    <phoneticPr fontId="18"/>
  </si>
  <si>
    <t>ＦＯＯＤ＆ＬＩＦＥＣＯＭＰＡＮ</t>
  </si>
  <si>
    <t>芝浦メカトロニクス</t>
    <rPh sb="0" eb="2">
      <t>シバウラ</t>
    </rPh>
    <phoneticPr fontId="18"/>
  </si>
  <si>
    <t>純金上場信託</t>
    <rPh sb="0" eb="2">
      <t>ジュンキン</t>
    </rPh>
    <rPh sb="2" eb="6">
      <t>ジョウジョウシンタク</t>
    </rPh>
    <phoneticPr fontId="18"/>
  </si>
  <si>
    <t>ナブテスコ</t>
    <phoneticPr fontId="18"/>
  </si>
  <si>
    <t>ＩＨＩ</t>
    <phoneticPr fontId="18"/>
  </si>
  <si>
    <t>ＦＦＲＩセキュリティ</t>
    <phoneticPr fontId="18"/>
  </si>
  <si>
    <t>-</t>
    <phoneticPr fontId="18"/>
  </si>
  <si>
    <t>楽天・全世界株式(除く米国)インデックス・ファンド(楽天・VXUS)</t>
    <phoneticPr fontId="18"/>
  </si>
  <si>
    <t>-</t>
    <phoneticPr fontId="18"/>
  </si>
  <si>
    <t>純パラジウム上場信</t>
    <phoneticPr fontId="18"/>
  </si>
  <si>
    <t>石油資源開発</t>
    <phoneticPr fontId="18"/>
  </si>
  <si>
    <t>-</t>
    <phoneticPr fontId="18"/>
  </si>
  <si>
    <t>サイバーセキュリティクラウド</t>
    <phoneticPr fontId="18"/>
  </si>
  <si>
    <t>大林組</t>
    <phoneticPr fontId="18"/>
  </si>
  <si>
    <t>-</t>
    <phoneticPr fontId="18"/>
  </si>
  <si>
    <t>トヨタ自動車</t>
    <phoneticPr fontId="18"/>
  </si>
  <si>
    <t>三井住友フィナンシャルＧ</t>
    <phoneticPr fontId="18"/>
  </si>
  <si>
    <t>ＮＦＪ－ＲＥＩＴ</t>
    <phoneticPr fontId="18"/>
  </si>
  <si>
    <t>-</t>
    <phoneticPr fontId="18"/>
  </si>
  <si>
    <t>セック</t>
    <phoneticPr fontId="18"/>
  </si>
  <si>
    <t>安川電機</t>
    <rPh sb="0" eb="4">
      <t>ヤスカワデンキ</t>
    </rPh>
    <phoneticPr fontId="18"/>
  </si>
  <si>
    <t>古河電工</t>
    <phoneticPr fontId="18"/>
  </si>
  <si>
    <t>イエローハット</t>
  </si>
  <si>
    <t>純金上場信託</t>
  </si>
  <si>
    <t>純銀上場信託</t>
  </si>
  <si>
    <t>セック</t>
  </si>
  <si>
    <t>純プラチナ上場信託</t>
  </si>
  <si>
    <t>ＦＦＲＩセキュリティ</t>
  </si>
  <si>
    <t>中外製薬</t>
  </si>
  <si>
    <t>味の素</t>
  </si>
  <si>
    <t>フジクラ</t>
  </si>
  <si>
    <t>三井住友フィナンシャルＧ</t>
  </si>
  <si>
    <t>-</t>
    <phoneticPr fontId="18"/>
  </si>
  <si>
    <t>住友電工</t>
    <phoneticPr fontId="18"/>
  </si>
  <si>
    <t>浜松ホトニクス</t>
    <phoneticPr fontId="18"/>
  </si>
  <si>
    <t>ＮＦＪ－ＲＥＩＴ</t>
    <phoneticPr fontId="18"/>
  </si>
  <si>
    <t>安川電機</t>
  </si>
  <si>
    <t>三井物産</t>
  </si>
  <si>
    <t>イオン</t>
  </si>
  <si>
    <t>-</t>
    <phoneticPr fontId="18"/>
  </si>
  <si>
    <t>芝浦メカトロニクス</t>
  </si>
  <si>
    <t>浜松ホトニクス</t>
  </si>
  <si>
    <t>スクウェア・エニックス・ＨＤ</t>
  </si>
  <si>
    <t>実現損益（円換算）</t>
    <rPh sb="0" eb="4">
      <t>ジツゲンソンエキ</t>
    </rPh>
    <rPh sb="5" eb="8">
      <t>エンカンサン</t>
    </rPh>
    <phoneticPr fontId="18"/>
  </si>
  <si>
    <t>2026年</t>
    <rPh sb="4" eb="5">
      <t>ネン</t>
    </rPh>
    <phoneticPr fontId="18"/>
  </si>
  <si>
    <t>NISA</t>
    <phoneticPr fontId="18"/>
  </si>
  <si>
    <t>海外株式_特定口座</t>
    <rPh sb="0" eb="2">
      <t>カイガイ</t>
    </rPh>
    <rPh sb="2" eb="4">
      <t>カブシキ</t>
    </rPh>
    <rPh sb="5" eb="7">
      <t>トクテイ</t>
    </rPh>
    <rPh sb="7" eb="9">
      <t>コウザ</t>
    </rPh>
    <phoneticPr fontId="18"/>
  </si>
  <si>
    <t>海外株式_NISA</t>
    <rPh sb="0" eb="4">
      <t>カイガイカブシキ</t>
    </rPh>
    <phoneticPr fontId="18"/>
  </si>
  <si>
    <t>配当金
[USドル]</t>
    <rPh sb="0" eb="2">
      <t>ハイトウ</t>
    </rPh>
    <rPh sb="2" eb="3">
      <t>キン</t>
    </rPh>
    <phoneticPr fontId="18"/>
  </si>
  <si>
    <t>ｉＦｒｅｅＥＴＦ　東証ＲＥＩＴ指数</t>
  </si>
  <si>
    <t>ソニーグループ</t>
  </si>
  <si>
    <t>東洋エンジニア</t>
  </si>
  <si>
    <t>伊藤忠</t>
  </si>
  <si>
    <t>ＩＮＰＥＸ</t>
  </si>
  <si>
    <t>186A</t>
  </si>
  <si>
    <t>アストロスケールホールディンク</t>
  </si>
  <si>
    <t>VNM</t>
    <phoneticPr fontId="18"/>
  </si>
  <si>
    <t>V VIETNAM</t>
    <phoneticPr fontId="18"/>
  </si>
  <si>
    <t>-</t>
    <phoneticPr fontId="18"/>
  </si>
  <si>
    <t>三井海洋開発</t>
  </si>
  <si>
    <t>双日</t>
  </si>
  <si>
    <t>ファナック</t>
  </si>
  <si>
    <t>RDW</t>
    <phoneticPr fontId="18"/>
  </si>
  <si>
    <t>REDWIRE CORP</t>
    <phoneticPr fontId="18"/>
  </si>
  <si>
    <t>-</t>
    <phoneticPr fontId="18"/>
  </si>
  <si>
    <t>ＯＮＥＥＴＦ東証ＲＥＩＴ</t>
  </si>
  <si>
    <t>東京瓦斯</t>
  </si>
  <si>
    <t>-</t>
    <phoneticPr fontId="18"/>
  </si>
  <si>
    <t>石油資源開発</t>
  </si>
  <si>
    <t>ＪＸ金属</t>
  </si>
  <si>
    <t>みずほフィナンシャルＧ</t>
  </si>
  <si>
    <t>栗本鉄工所</t>
  </si>
  <si>
    <t>キーエンス</t>
  </si>
  <si>
    <t>東京計器</t>
  </si>
  <si>
    <t>三井Ｅ＆Ｓ</t>
  </si>
  <si>
    <t>古河電工</t>
  </si>
  <si>
    <t>285A</t>
  </si>
  <si>
    <t>キオクシアホールディングス</t>
  </si>
  <si>
    <t>積水ハウス</t>
  </si>
  <si>
    <t>-</t>
    <phoneticPr fontId="18"/>
  </si>
  <si>
    <t>ｓａｎｔｅｃ　Ｈｏｌｄｉｎｇｓ</t>
  </si>
  <si>
    <t>ディスコ</t>
  </si>
  <si>
    <t>ＡＣＳＬ</t>
  </si>
  <si>
    <t>-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</si>
</sst>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 "/>
    <numFmt numFmtId="177" formatCode="#,##0.0;[Red]\-#,##0.0"/>
    <numFmt numFmtId="178" formatCode="#,##0.0000"/>
    <numFmt numFmtId="179" formatCode="0.00_);[Red]\(0.00\)"/>
    <numFmt numFmtId="180" formatCode="0.0"/>
    <numFmt numFmtId="181" formatCode="#,##0.00_ ;[Red]\-#,##0.00\ "/>
  </numFmts>
  <fonts count="19" x14ac:knownFonts="1">
    <font>
      <sz val="11"/>
      <color theme="1"/>
      <name val="游ゴシック Medium"/>
      <family val="2"/>
      <charset val="128"/>
      <scheme val="minor"/>
    </font>
    <font>
      <sz val="11"/>
      <color theme="1"/>
      <name val="游ゴシック Medium"/>
      <family val="2"/>
      <charset val="128"/>
      <scheme val="minor"/>
    </font>
    <font>
      <sz val="18"/>
      <color theme="3"/>
      <name val="游ゴシック Medium"/>
      <family val="2"/>
      <charset val="128"/>
      <scheme val="major"/>
    </font>
    <font>
      <b/>
      <sz val="15"/>
      <color theme="3"/>
      <name val="游ゴシック Medium"/>
      <family val="2"/>
      <charset val="128"/>
      <scheme val="minor"/>
    </font>
    <font>
      <b/>
      <sz val="13"/>
      <color theme="3"/>
      <name val="游ゴシック Medium"/>
      <family val="2"/>
      <charset val="128"/>
      <scheme val="minor"/>
    </font>
    <font>
      <b/>
      <sz val="11"/>
      <color theme="3"/>
      <name val="游ゴシック Medium"/>
      <family val="2"/>
      <charset val="128"/>
      <scheme val="minor"/>
    </font>
    <font>
      <sz val="11"/>
      <color rgb="FF006100"/>
      <name val="游ゴシック Medium"/>
      <family val="2"/>
      <charset val="128"/>
      <scheme val="minor"/>
    </font>
    <font>
      <sz val="11"/>
      <color rgb="FF9C0006"/>
      <name val="游ゴシック Medium"/>
      <family val="2"/>
      <charset val="128"/>
      <scheme val="minor"/>
    </font>
    <font>
      <sz val="11"/>
      <color rgb="FF9C5700"/>
      <name val="游ゴシック Medium"/>
      <family val="2"/>
      <charset val="128"/>
      <scheme val="minor"/>
    </font>
    <font>
      <sz val="11"/>
      <color rgb="FF3F3F76"/>
      <name val="游ゴシック Medium"/>
      <family val="2"/>
      <charset val="128"/>
      <scheme val="minor"/>
    </font>
    <font>
      <b/>
      <sz val="11"/>
      <color rgb="FF3F3F3F"/>
      <name val="游ゴシック Medium"/>
      <family val="2"/>
      <charset val="128"/>
      <scheme val="minor"/>
    </font>
    <font>
      <b/>
      <sz val="11"/>
      <color rgb="FFFA7D00"/>
      <name val="游ゴシック Medium"/>
      <family val="2"/>
      <charset val="128"/>
      <scheme val="minor"/>
    </font>
    <font>
      <sz val="11"/>
      <color rgb="FFFA7D00"/>
      <name val="游ゴシック Medium"/>
      <family val="2"/>
      <charset val="128"/>
      <scheme val="minor"/>
    </font>
    <font>
      <b/>
      <sz val="11"/>
      <color theme="0"/>
      <name val="游ゴシック Medium"/>
      <family val="2"/>
      <charset val="128"/>
      <scheme val="minor"/>
    </font>
    <font>
      <sz val="11"/>
      <color rgb="FFFF0000"/>
      <name val="游ゴシック Medium"/>
      <family val="2"/>
      <charset val="128"/>
      <scheme val="minor"/>
    </font>
    <font>
      <i/>
      <sz val="11"/>
      <color rgb="FF7F7F7F"/>
      <name val="游ゴシック Medium"/>
      <family val="2"/>
      <charset val="128"/>
      <scheme val="minor"/>
    </font>
    <font>
      <b/>
      <sz val="11"/>
      <color theme="1"/>
      <name val="游ゴシック Medium"/>
      <family val="2"/>
      <charset val="128"/>
      <scheme val="minor"/>
    </font>
    <font>
      <sz val="11"/>
      <color theme="0"/>
      <name val="游ゴシック Medium"/>
      <family val="2"/>
      <charset val="128"/>
      <scheme val="minor"/>
    </font>
    <font>
      <sz val="6"/>
      <name val="游ゴシック Medium"/>
      <family val="2"/>
      <charset val="128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4" fontId="0" fillId="0" borderId="10" xfId="0" applyNumberFormat="1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4" fontId="0" fillId="0" borderId="10" xfId="0" applyNumberFormat="1" applyBorder="1">
      <alignment vertical="center"/>
    </xf>
    <xf numFmtId="3" fontId="0" fillId="0" borderId="10" xfId="0" applyNumberFormat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2" fontId="0" fillId="0" borderId="10" xfId="0" applyNumberFormat="1" applyBorder="1">
      <alignment vertical="center"/>
    </xf>
    <xf numFmtId="0" fontId="0" fillId="33" borderId="10" xfId="0" applyFill="1" applyBorder="1" applyAlignment="1">
      <alignment horizontal="center" vertical="center"/>
    </xf>
    <xf numFmtId="38" fontId="0" fillId="0" borderId="10" xfId="1" applyFont="1" applyFill="1" applyBorder="1" applyAlignment="1">
      <alignment horizontal="right" vertical="center"/>
    </xf>
    <xf numFmtId="38" fontId="0" fillId="0" borderId="10" xfId="1" applyFont="1" applyBorder="1" applyAlignment="1">
      <alignment horizontal="right" vertical="center"/>
    </xf>
    <xf numFmtId="0" fontId="0" fillId="34" borderId="10" xfId="0" applyFill="1" applyBorder="1" applyAlignment="1">
      <alignment horizontal="center" vertical="center"/>
    </xf>
    <xf numFmtId="0" fontId="0" fillId="34" borderId="11" xfId="0" applyFill="1" applyBorder="1" applyAlignment="1">
      <alignment horizontal="center" vertical="center"/>
    </xf>
    <xf numFmtId="0" fontId="0" fillId="34" borderId="12" xfId="0" applyFill="1" applyBorder="1" applyAlignment="1">
      <alignment horizontal="center" vertical="center"/>
    </xf>
    <xf numFmtId="38" fontId="0" fillId="0" borderId="10" xfId="1" applyFont="1" applyBorder="1">
      <alignment vertical="center"/>
    </xf>
    <xf numFmtId="38" fontId="0" fillId="0" borderId="10" xfId="0" applyNumberFormat="1" applyBorder="1">
      <alignment vertical="center"/>
    </xf>
    <xf numFmtId="38" fontId="0" fillId="0" borderId="10" xfId="1" applyFont="1" applyFill="1" applyBorder="1">
      <alignment vertical="center"/>
    </xf>
    <xf numFmtId="4" fontId="0" fillId="0" borderId="10" xfId="0" applyNumberFormat="1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3" fontId="0" fillId="0" borderId="10" xfId="0" applyNumberFormat="1" applyBorder="1" applyAlignment="1">
      <alignment horizontal="right" vertical="center"/>
    </xf>
    <xf numFmtId="40" fontId="0" fillId="0" borderId="10" xfId="1" applyNumberFormat="1" applyFont="1" applyBorder="1">
      <alignment vertical="center"/>
    </xf>
    <xf numFmtId="38" fontId="0" fillId="0" borderId="0" xfId="1" applyFont="1">
      <alignment vertical="center"/>
    </xf>
    <xf numFmtId="40" fontId="0" fillId="0" borderId="0" xfId="1" applyNumberFormat="1" applyFont="1">
      <alignment vertical="center"/>
    </xf>
    <xf numFmtId="40" fontId="0" fillId="0" borderId="10" xfId="1" applyNumberFormat="1" applyFont="1" applyFill="1" applyBorder="1">
      <alignment vertical="center"/>
    </xf>
    <xf numFmtId="176" fontId="0" fillId="0" borderId="10" xfId="0" applyNumberFormat="1" applyBorder="1">
      <alignment vertical="center"/>
    </xf>
    <xf numFmtId="38" fontId="0" fillId="0" borderId="10" xfId="0" applyNumberFormat="1" applyBorder="1" applyAlignment="1">
      <alignment horizontal="right" vertical="center"/>
    </xf>
    <xf numFmtId="38" fontId="0" fillId="0" borderId="12" xfId="1" applyFont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38" fontId="0" fillId="34" borderId="10" xfId="0" applyNumberFormat="1" applyFill="1" applyBorder="1">
      <alignment vertical="center"/>
    </xf>
    <xf numFmtId="38" fontId="0" fillId="34" borderId="10" xfId="1" applyFont="1" applyFill="1" applyBorder="1">
      <alignment vertical="center"/>
    </xf>
    <xf numFmtId="0" fontId="0" fillId="38" borderId="10" xfId="0" applyFill="1" applyBorder="1" applyAlignment="1">
      <alignment horizontal="center" vertical="center"/>
    </xf>
    <xf numFmtId="38" fontId="0" fillId="39" borderId="10" xfId="0" applyNumberFormat="1" applyFill="1" applyBorder="1">
      <alignment vertical="center"/>
    </xf>
    <xf numFmtId="3" fontId="0" fillId="0" borderId="10" xfId="0" applyNumberFormat="1" applyBorder="1" applyAlignment="1">
      <alignment horizontal="left" vertical="center"/>
    </xf>
    <xf numFmtId="177" fontId="0" fillId="0" borderId="10" xfId="1" applyNumberFormat="1" applyFont="1" applyFill="1" applyBorder="1">
      <alignment vertical="center"/>
    </xf>
    <xf numFmtId="38" fontId="0" fillId="0" borderId="0" xfId="0" applyNumberFormat="1">
      <alignment vertical="center"/>
    </xf>
    <xf numFmtId="38" fontId="0" fillId="0" borderId="0" xfId="1" applyFont="1" applyAlignment="1">
      <alignment horizontal="right" vertical="center"/>
    </xf>
    <xf numFmtId="38" fontId="0" fillId="34" borderId="10" xfId="1" applyFont="1" applyFill="1" applyBorder="1" applyAlignment="1">
      <alignment horizontal="center" vertical="center"/>
    </xf>
    <xf numFmtId="38" fontId="0" fillId="33" borderId="10" xfId="1" applyFont="1" applyFill="1" applyBorder="1" applyAlignment="1">
      <alignment horizontal="center" vertical="center"/>
    </xf>
    <xf numFmtId="178" fontId="0" fillId="0" borderId="10" xfId="0" applyNumberFormat="1" applyBorder="1">
      <alignment vertical="center"/>
    </xf>
    <xf numFmtId="179" fontId="0" fillId="0" borderId="10" xfId="0" applyNumberFormat="1" applyBorder="1">
      <alignment vertical="center"/>
    </xf>
    <xf numFmtId="14" fontId="0" fillId="0" borderId="0" xfId="0" applyNumberFormat="1">
      <alignment vertical="center"/>
    </xf>
    <xf numFmtId="0" fontId="0" fillId="35" borderId="10" xfId="0" applyFill="1" applyBorder="1" applyAlignment="1">
      <alignment horizontal="center" vertical="center"/>
    </xf>
    <xf numFmtId="14" fontId="0" fillId="0" borderId="10" xfId="0" applyNumberFormat="1" applyBorder="1">
      <alignment vertical="center"/>
    </xf>
    <xf numFmtId="0" fontId="0" fillId="34" borderId="15" xfId="0" applyFill="1" applyBorder="1" applyAlignment="1">
      <alignment horizontal="center" vertical="center"/>
    </xf>
    <xf numFmtId="40" fontId="0" fillId="0" borderId="10" xfId="0" applyNumberFormat="1" applyBorder="1">
      <alignment vertical="center"/>
    </xf>
    <xf numFmtId="181" fontId="0" fillId="0" borderId="0" xfId="0" applyNumberFormat="1">
      <alignment vertical="center"/>
    </xf>
    <xf numFmtId="40" fontId="0" fillId="39" borderId="10" xfId="0" applyNumberFormat="1" applyFill="1" applyBorder="1">
      <alignment vertical="center"/>
    </xf>
    <xf numFmtId="177" fontId="0" fillId="0" borderId="10" xfId="1" applyNumberFormat="1" applyFont="1" applyBorder="1">
      <alignment vertical="center"/>
    </xf>
    <xf numFmtId="0" fontId="0" fillId="35" borderId="10" xfId="0" applyFill="1" applyBorder="1" applyAlignment="1">
      <alignment horizontal="center" vertical="center"/>
    </xf>
    <xf numFmtId="180" fontId="0" fillId="0" borderId="10" xfId="0" applyNumberFormat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 wrapText="1"/>
    </xf>
    <xf numFmtId="0" fontId="0" fillId="38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3" xfId="0" applyFill="1" applyBorder="1" applyAlignment="1">
      <alignment horizontal="center" vertical="center"/>
    </xf>
    <xf numFmtId="4" fontId="0" fillId="0" borderId="10" xfId="0" applyNumberFormat="1" applyFill="1" applyBorder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eminar">
  <a:themeElements>
    <a:clrScheme name="テンプレート">
      <a:dk1>
        <a:srgbClr val="414141"/>
      </a:dk1>
      <a:lt1>
        <a:sysClr val="window" lastClr="FFFFFF"/>
      </a:lt1>
      <a:dk2>
        <a:srgbClr val="5F5F5F"/>
      </a:dk2>
      <a:lt2>
        <a:srgbClr val="E7E6E6"/>
      </a:lt2>
      <a:accent1>
        <a:srgbClr val="2E83B8"/>
      </a:accent1>
      <a:accent2>
        <a:srgbClr val="00B0F0"/>
      </a:accent2>
      <a:accent3>
        <a:srgbClr val="FF2819"/>
      </a:accent3>
      <a:accent4>
        <a:srgbClr val="FFC34C"/>
      </a:accent4>
      <a:accent5>
        <a:srgbClr val="66CC66"/>
      </a:accent5>
      <a:accent6>
        <a:srgbClr val="92D050"/>
      </a:accent6>
      <a:hlink>
        <a:srgbClr val="0563C1"/>
      </a:hlink>
      <a:folHlink>
        <a:srgbClr val="954F72"/>
      </a:folHlink>
    </a:clrScheme>
    <a:fontScheme name="Segone UI + 游ゴシック">
      <a:majorFont>
        <a:latin typeface="Segoe UI"/>
        <a:ea typeface="游ゴシック Medium"/>
        <a:cs typeface=""/>
      </a:majorFont>
      <a:minorFont>
        <a:latin typeface="Segoe UI"/>
        <a:ea typeface="游ゴシック Medium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eminar" id="{6E1BD7B9-F2FB-4499-BBFA-B4235E79FA8A}" vid="{6DBCA8B5-9A02-41D9-B05A-1800C2D83FFF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C89A7-C167-4D00-90A0-EA0A65920859}">
  <sheetPr>
    <tabColor theme="7" tint="0.79998168889431442"/>
  </sheetPr>
  <dimension ref="A1:V18"/>
  <sheetViews>
    <sheetView zoomScale="80" zoomScaleNormal="80" workbookViewId="0">
      <selection activeCell="I13" sqref="I13"/>
    </sheetView>
  </sheetViews>
  <sheetFormatPr defaultRowHeight="18" x14ac:dyDescent="0.45"/>
  <cols>
    <col min="1" max="1" width="10.59765625" style="2" customWidth="1"/>
    <col min="2" max="19" width="10.59765625" customWidth="1"/>
    <col min="21" max="22" width="11.3984375" bestFit="1" customWidth="1"/>
  </cols>
  <sheetData>
    <row r="1" spans="1:22" x14ac:dyDescent="0.45">
      <c r="B1" s="55" t="s">
        <v>213</v>
      </c>
      <c r="C1" s="55"/>
      <c r="D1" s="55"/>
      <c r="E1" s="55"/>
      <c r="F1" s="55" t="s">
        <v>216</v>
      </c>
      <c r="G1" s="55"/>
      <c r="H1" s="55"/>
      <c r="I1" s="55"/>
      <c r="J1" s="55"/>
      <c r="K1" s="55" t="s">
        <v>218</v>
      </c>
      <c r="L1" s="55"/>
      <c r="M1" s="55"/>
      <c r="N1" s="55"/>
      <c r="O1" s="63" t="s">
        <v>302</v>
      </c>
      <c r="P1" s="64"/>
      <c r="Q1" s="64"/>
      <c r="R1" s="65"/>
      <c r="S1" s="37" t="s">
        <v>219</v>
      </c>
      <c r="U1" s="48" t="s">
        <v>361</v>
      </c>
      <c r="V1" s="48" t="s">
        <v>362</v>
      </c>
    </row>
    <row r="2" spans="1:22" x14ac:dyDescent="0.45">
      <c r="B2" s="57" t="s">
        <v>212</v>
      </c>
      <c r="C2" s="57"/>
      <c r="D2" s="57" t="s">
        <v>211</v>
      </c>
      <c r="E2" s="58" t="s">
        <v>214</v>
      </c>
      <c r="F2" s="57" t="s">
        <v>212</v>
      </c>
      <c r="G2" s="57"/>
      <c r="H2" s="57" t="s">
        <v>211</v>
      </c>
      <c r="I2" s="58" t="s">
        <v>214</v>
      </c>
      <c r="J2" s="60" t="s">
        <v>217</v>
      </c>
      <c r="K2" s="57" t="s">
        <v>212</v>
      </c>
      <c r="L2" s="57"/>
      <c r="M2" s="58" t="s">
        <v>214</v>
      </c>
      <c r="N2" s="60" t="s">
        <v>217</v>
      </c>
      <c r="O2" s="61" t="s">
        <v>212</v>
      </c>
      <c r="P2" s="62"/>
      <c r="Q2" s="58" t="s">
        <v>214</v>
      </c>
      <c r="R2" s="60" t="s">
        <v>217</v>
      </c>
      <c r="S2" s="59" t="s">
        <v>214</v>
      </c>
      <c r="U2" s="49">
        <v>44145</v>
      </c>
      <c r="V2" s="49">
        <f ca="1">TODAY()</f>
        <v>46112</v>
      </c>
    </row>
    <row r="3" spans="1:22" x14ac:dyDescent="0.45">
      <c r="B3" s="33" t="s">
        <v>206</v>
      </c>
      <c r="C3" s="33" t="s">
        <v>207</v>
      </c>
      <c r="D3" s="66"/>
      <c r="E3" s="67"/>
      <c r="F3" s="32" t="s">
        <v>206</v>
      </c>
      <c r="G3" s="32" t="s">
        <v>207</v>
      </c>
      <c r="H3" s="57"/>
      <c r="I3" s="58"/>
      <c r="J3" s="58"/>
      <c r="K3" s="32" t="s">
        <v>206</v>
      </c>
      <c r="L3" s="32" t="s">
        <v>207</v>
      </c>
      <c r="M3" s="58"/>
      <c r="N3" s="58"/>
      <c r="O3" s="32" t="s">
        <v>206</v>
      </c>
      <c r="P3" s="32" t="s">
        <v>207</v>
      </c>
      <c r="Q3" s="58"/>
      <c r="R3" s="58"/>
      <c r="S3" s="59"/>
      <c r="U3" s="55" t="s">
        <v>363</v>
      </c>
      <c r="V3" s="55"/>
    </row>
    <row r="4" spans="1:22" x14ac:dyDescent="0.45">
      <c r="A4" s="34" t="s">
        <v>215</v>
      </c>
      <c r="B4" s="20">
        <f>SUM(B5:B100)</f>
        <v>2768600</v>
      </c>
      <c r="C4" s="20">
        <f>SUM(C5:C100)</f>
        <v>-49300</v>
      </c>
      <c r="D4" s="20">
        <f>SUM(D5:D100)</f>
        <v>455495</v>
      </c>
      <c r="E4" s="35">
        <f>SUM(B4:D4)</f>
        <v>3174795</v>
      </c>
      <c r="F4" s="20">
        <f>SUM(F5:F100)</f>
        <v>9647753</v>
      </c>
      <c r="G4" s="20">
        <f>SUM(G5:G100)</f>
        <v>-4158779</v>
      </c>
      <c r="H4" s="20">
        <f>SUM(H5:H100)</f>
        <v>820330</v>
      </c>
      <c r="I4" s="35">
        <f>SUM(F4:H4)</f>
        <v>6309304</v>
      </c>
      <c r="J4" s="35">
        <f>SUM(J5:J100)</f>
        <v>5027568.8923999993</v>
      </c>
      <c r="K4" s="20">
        <f>SUM(K5:K100)</f>
        <v>474248</v>
      </c>
      <c r="L4" s="20">
        <f>SUM(L5:L100)</f>
        <v>-678053</v>
      </c>
      <c r="M4" s="35">
        <f>SUM(K4:L4)</f>
        <v>-203805</v>
      </c>
      <c r="N4" s="35">
        <f>SUM(N5:N100)</f>
        <v>-258697.95835</v>
      </c>
      <c r="O4" s="20">
        <f>SUM(O5:O100)</f>
        <v>192787</v>
      </c>
      <c r="P4" s="20">
        <f>SUM(P5:P100)</f>
        <v>-2569</v>
      </c>
      <c r="Q4" s="35">
        <f>SUM(O4:P4)</f>
        <v>190218</v>
      </c>
      <c r="R4" s="35">
        <f>SUM(R5:R100)</f>
        <v>151575.21329999997</v>
      </c>
      <c r="S4" s="38">
        <f>SUM(E4,J4,N4,R4)</f>
        <v>8095241.1473499993</v>
      </c>
      <c r="U4" s="56">
        <f ca="1">(V2-U2)/365</f>
        <v>5.3890410958904109</v>
      </c>
      <c r="V4" s="56"/>
    </row>
    <row r="5" spans="1:22" x14ac:dyDescent="0.45">
      <c r="A5" s="34" t="s">
        <v>208</v>
      </c>
      <c r="B5" s="19">
        <f>SUMIFS(国内株式_NISA!$N$2:$N$996,国内株式_NISA!$B$2:$B$996,"&gt;=2021/1/1",国内株式_NISA!$B$2:$B$996,"&lt;=2021/12/31",国内株式_NISA!$N$2:$N$996,"&gt;=0")</f>
        <v>132360</v>
      </c>
      <c r="C5" s="19">
        <f>SUMIFS(国内株式_NISA!$N$2:$N$996,国内株式_NISA!$B$2:$B$996,"&gt;=2021/1/1",国内株式_NISA!$B$2:$B$996,"&lt;=2021/12/31",国内株式_NISA!$N$2:$N$996,"&lt;0")</f>
        <v>0</v>
      </c>
      <c r="D5" s="19">
        <f>SUMIFS(国内株式_NISA_配当!$K$2:$K$1003,国内株式_NISA_配当!$A$2:$A$1003,"&gt;=2021/1/1",国内株式_NISA_配当!$A$2:$A$1003,"&lt;=2021/12/31")</f>
        <v>27700</v>
      </c>
      <c r="E5" s="35">
        <f t="shared" ref="E5:E7" si="0">SUM(B5:D5)</f>
        <v>160060</v>
      </c>
      <c r="F5" s="19">
        <f>SUMIFS(国内株式_特定!$N$2:$N$998,国内株式_特定!$B$2:$B$998,"&gt;=2021/1/1",国内株式_特定!$B$2:$B$998,"&lt;=2021/12/31",国内株式_特定!$N$2:$N$998,"&gt;=0")</f>
        <v>630746</v>
      </c>
      <c r="G5" s="19">
        <f>SUMIFS(国内株式_特定!$N$2:$N$998,国内株式_特定!$B$2:$B$998,"&gt;=2021/1/1",国内株式_特定!$B$2:$B$998,"&lt;=2021/12/31",国内株式_特定!$N$2:$N$998,"&lt;0")</f>
        <v>-601144</v>
      </c>
      <c r="H5" s="19">
        <f>SUMIFS(国内株式_特定_配当!$H$2:$H$999,国内株式_特定_配当!$A$2:$A$999,"&gt;=2021/1/1",国内株式_特定_配当!$A$2:$A$999,"&lt;=2021/12/31")</f>
        <v>42900</v>
      </c>
      <c r="I5" s="35">
        <f>SUM(F5:H5)</f>
        <v>72502</v>
      </c>
      <c r="J5" s="36">
        <f t="shared" ref="J5:J10" si="1">IF(I5&gt;0,I5-I5*0.20315,I5)</f>
        <v>57773.218699999998</v>
      </c>
      <c r="K5" s="19">
        <f>SUMIFS(国内株式_信用!$P$2:$P$1000,国内株式_信用!$B$2:$B$1000,"&gt;=2021/1/1",国内株式_信用!$B$2:$B$1000,"&lt;=2021/12/31",国内株式_信用!$P$2:$P$1000,"&gt;=0")</f>
        <v>62022</v>
      </c>
      <c r="L5" s="19">
        <f>SUMIFS(国内株式_信用!$P$2:$P$1000,国内株式_信用!$B$2:$B$1000,"&gt;=2021/1/1",国内株式_信用!$B$2:$B$1000,"&lt;=2021/12/31",国内株式_信用!$P$2:$P$1000,"&lt;0")</f>
        <v>-130800</v>
      </c>
      <c r="M5" s="35">
        <f>SUM(K5:L5)</f>
        <v>-68778</v>
      </c>
      <c r="N5" s="36">
        <f>IF(M5&gt;0,M5-M5*0.20315,M5)</f>
        <v>-68778</v>
      </c>
      <c r="O5" s="19">
        <f>SUMIFS(投資信託!$K$2:$K$1027,投資信託!$B$2:$B$1027,"&gt;=2021/1/1",投資信託!$B$2:$B$1027,"&lt;=2021/12/31",投資信託!$K$2:$K$1027,"&gt;=0")</f>
        <v>7366</v>
      </c>
      <c r="P5" s="19">
        <f>SUMIFS(投資信託!$K$2:$K$1027,投資信託!$B$2:$B$1027,"&gt;=2021/1/1",投資信託!$B$2:$B$1027,"&lt;=2021/12/31",投資信託!$K$2:$K$1027,"&lt;0")</f>
        <v>-1498</v>
      </c>
      <c r="Q5" s="35">
        <f>SUM(O5:P5)</f>
        <v>5868</v>
      </c>
      <c r="R5" s="36">
        <f>IF(Q5&gt;0,Q5-Q5*0.20315,Q5)</f>
        <v>4675.9157999999998</v>
      </c>
      <c r="S5" s="38">
        <f>SUM(E5,J5,N5,R5)</f>
        <v>153731.13449999999</v>
      </c>
    </row>
    <row r="6" spans="1:22" x14ac:dyDescent="0.45">
      <c r="A6" s="34" t="s">
        <v>209</v>
      </c>
      <c r="B6" s="19">
        <f>SUMIFS(国内株式_NISA!$N$2:$N$996,国内株式_NISA!$B$2:$B$996,"&gt;=2022/1/1",国内株式_NISA!$B$2:$B$996,"&lt;=2022/12/31",国内株式_NISA!$N$2:$N$996,"&gt;=0")</f>
        <v>0</v>
      </c>
      <c r="C6" s="19">
        <f>SUMIFS(国内株式_NISA!$N$2:$N$996,国内株式_NISA!$B$2:$B$996,"&gt;=2022/1/1",国内株式_NISA!$B$2:$B$996,"&lt;=2022/12/31",国内株式_NISA!$N$2:$N$996,"&lt;0")</f>
        <v>0</v>
      </c>
      <c r="D6" s="19">
        <f>SUMIFS(国内株式_NISA_配当!$K$2:$K$1003,国内株式_NISA_配当!$A$2:$A$1003,"&gt;=2022/1/1",国内株式_NISA_配当!$A$2:$A$1003,"&lt;=2022/12/31")</f>
        <v>35720</v>
      </c>
      <c r="E6" s="35">
        <f t="shared" si="0"/>
        <v>35720</v>
      </c>
      <c r="F6" s="19">
        <f>SUMIFS(国内株式_特定!$N$2:$N$998,国内株式_特定!$B$2:$B$998,"&gt;=2022/1/1",国内株式_特定!$B$2:$B$998,"&lt;=2022/12/31",国内株式_特定!$N$2:$N$998,"&gt;=0")</f>
        <v>619915</v>
      </c>
      <c r="G6" s="19">
        <f>SUMIFS(国内株式_特定!$N$2:$N$998,国内株式_特定!$B$2:$B$998,"&gt;=2022/1/1",国内株式_特定!$B$2:$B$998,"&lt;=2022/12/31",国内株式_特定!$N$2:$N$998,"&lt;0")</f>
        <v>-699020</v>
      </c>
      <c r="H6" s="19">
        <f>SUMIFS(国内株式_特定_配当!$H$2:$H$999,国内株式_特定_配当!$A$2:$A$999,"&gt;=2022/1/1",国内株式_特定_配当!$A$2:$A$999,"&lt;=2022/12/31")</f>
        <v>245200</v>
      </c>
      <c r="I6" s="35">
        <f t="shared" ref="I6:I7" si="2">SUM(F6:H6)</f>
        <v>166095</v>
      </c>
      <c r="J6" s="36">
        <f t="shared" si="1"/>
        <v>132352.80074999999</v>
      </c>
      <c r="K6" s="19">
        <f>SUMIFS(国内株式_信用!$P$2:$P$1000,国内株式_信用!$B$2:$B$1000,"&gt;=2022/1/1",国内株式_信用!$B$2:$B$1000,"&lt;=2022/12/31",国内株式_信用!$P$2:$P$1000,"&gt;=0")</f>
        <v>81387</v>
      </c>
      <c r="L6" s="19">
        <f>SUMIFS(国内株式_信用!$P$2:$P$1000,国内株式_信用!$B$2:$B$1000,"&gt;=2022/1/1",国内株式_信用!$B$2:$B$1000,"&lt;=2022/12/31",国内株式_信用!$P$2:$P$1000,"&lt;0")</f>
        <v>-187960</v>
      </c>
      <c r="M6" s="35">
        <f t="shared" ref="M6:M7" si="3">SUM(K6:L6)</f>
        <v>-106573</v>
      </c>
      <c r="N6" s="36">
        <f t="shared" ref="N6:N7" si="4">IF(M6&gt;0,M6-M6*0.20315,M6)</f>
        <v>-106573</v>
      </c>
      <c r="O6" s="19">
        <f>SUMIFS(投資信託!$K$2:$K$1027,投資信託!$B$2:$B$1027,"&gt;=2022/1/1",投資信託!$B$2:$B$1027,"&lt;=2022/12/31",投資信託!$K$2:$K$1027,"&gt;=0")</f>
        <v>0</v>
      </c>
      <c r="P6" s="19">
        <f>SUMIFS(投資信託!$K$2:$K$1027,投資信託!$B$2:$B$1027,"&gt;=2022/1/1",投資信託!$B$2:$B$1027,"&lt;=2022/12/31",投資信託!$K$2:$K$1027,"&lt;0")</f>
        <v>0</v>
      </c>
      <c r="Q6" s="35">
        <f>SUM(O6:P6)</f>
        <v>0</v>
      </c>
      <c r="R6" s="36">
        <f>IF(Q6&gt;0,Q6-Q6*0.20315,Q6)</f>
        <v>0</v>
      </c>
      <c r="S6" s="38">
        <f>SUM(E6,J6,N6,R6)</f>
        <v>61499.800749999995</v>
      </c>
    </row>
    <row r="7" spans="1:22" x14ac:dyDescent="0.45">
      <c r="A7" s="34" t="s">
        <v>210</v>
      </c>
      <c r="B7" s="19">
        <f>SUMIFS(国内株式_NISA!$N$2:$N$996,国内株式_NISA!$B$2:$B$996,"&gt;=2023/1/1",国内株式_NISA!$B$2:$B$996,"&lt;=2023/12/31",国内株式_NISA!$N$2:$N$996,"&gt;=0")</f>
        <v>125420</v>
      </c>
      <c r="C7" s="19">
        <f>SUMIFS(国内株式_NISA!$N$2:$N$996,国内株式_NISA!$B$2:$B$996,"&gt;=2023/1/1",国内株式_NISA!$B$2:$B$996,"&lt;=2023/12/31",国内株式_NISA!$N$2:$N$996,"&lt;0")</f>
        <v>0</v>
      </c>
      <c r="D7" s="19">
        <f>SUMIFS(国内株式_NISA_配当!$K$2:$K$1003,国内株式_NISA_配当!$A$2:$A$1003,"&gt;=2023/1/1",国内株式_NISA_配当!$A$2:$A$1003,"&lt;=2023/12/31")</f>
        <v>88900</v>
      </c>
      <c r="E7" s="35">
        <f t="shared" si="0"/>
        <v>214320</v>
      </c>
      <c r="F7" s="19">
        <f>SUMIFS(国内株式_特定!$N$2:$N$998,国内株式_特定!$B$2:$B$998,"&gt;=2023/1/1",国内株式_特定!$B$2:$B$998,"&lt;=2023/12/31",国内株式_特定!$N$2:$N$998,"&gt;=0")</f>
        <v>1679057</v>
      </c>
      <c r="G7" s="19">
        <f>SUMIFS(国内株式_特定!$N$2:$N$998,国内株式_特定!$B$2:$B$998,"&gt;=2023/1/1",国内株式_特定!$B$2:$B$998,"&lt;=2023/12/31",国内株式_特定!$N$2:$N$998,"&lt;0")</f>
        <v>-402270</v>
      </c>
      <c r="H7" s="19">
        <f>SUMIFS(国内株式_特定_配当!$H$2:$H$999,国内株式_特定_配当!$A$2:$A$999,"&gt;=2023/1/1",国内株式_特定_配当!$A$2:$A$999,"&lt;=2023/12/31")</f>
        <v>167100</v>
      </c>
      <c r="I7" s="35">
        <f t="shared" si="2"/>
        <v>1443887</v>
      </c>
      <c r="J7" s="36">
        <f t="shared" si="1"/>
        <v>1150561.35595</v>
      </c>
      <c r="K7" s="19">
        <f>SUMIFS(国内株式_信用!$P$2:$P$1000,国内株式_信用!$B$2:$B$1000,"&gt;=2023/1/1",国内株式_信用!$B$2:$B$1000,"&lt;=2023/12/31",国内株式_信用!$P$2:$P$1000,"&gt;=0")</f>
        <v>0</v>
      </c>
      <c r="L7" s="19">
        <f>SUMIFS(国内株式_信用!$P$2:$P$1000,国内株式_信用!$B$2:$B$1000,"&gt;=2023/1/1",国内株式_信用!$B$2:$B$1000,"&lt;=2023/12/31",国内株式_信用!$P$2:$P$1000,"&lt;0")</f>
        <v>-50703</v>
      </c>
      <c r="M7" s="35">
        <f t="shared" si="3"/>
        <v>-50703</v>
      </c>
      <c r="N7" s="36">
        <f t="shared" si="4"/>
        <v>-50703</v>
      </c>
      <c r="O7" s="19">
        <f>SUMIFS(投資信託!$K$2:$K$1027,投資信託!$B$2:$B$1027,"&gt;=2023/1/1",投資信託!$B$2:$B$1027,"&lt;=2023/12/31",投資信託!$K$2:$K$1027,"&gt;=0")</f>
        <v>0</v>
      </c>
      <c r="P7" s="19">
        <f>SUMIFS(投資信託!$K$2:$K$1027,投資信託!$B$2:$B$1027,"&gt;=2023/1/1",投資信託!$B$2:$B$1027,"&lt;=2023/12/31",投資信託!$K$2:$K$1027,"&lt;0")</f>
        <v>0</v>
      </c>
      <c r="Q7" s="35">
        <f>SUM(O7:P7)</f>
        <v>0</v>
      </c>
      <c r="R7" s="36">
        <f t="shared" ref="R7:R10" si="5">IF(Q7&gt;0,Q7-Q7*0.20315,Q7)</f>
        <v>0</v>
      </c>
      <c r="S7" s="38">
        <f t="shared" ref="S7:S8" si="6">SUM(E7,J7,N7,R7)</f>
        <v>1314178.35595</v>
      </c>
    </row>
    <row r="8" spans="1:22" x14ac:dyDescent="0.45">
      <c r="A8" s="34" t="s">
        <v>232</v>
      </c>
      <c r="B8" s="19">
        <f>SUMIFS(国内株式_NISA!$N$2:$N$996,国内株式_NISA!$B$2:$B$996,"&gt;=2024/1/1",国内株式_NISA!$B$2:$B$996,"&lt;=2024/12/31",国内株式_NISA!$N$2:$N$996,"&gt;=0")</f>
        <v>24600</v>
      </c>
      <c r="C8" s="19">
        <f>SUMIFS(国内株式_NISA!$N$2:$N$996,国内株式_NISA!$B$2:$B$996,"&gt;=2024/1/1",国内株式_NISA!$B$2:$B$996,"&lt;=2024/12/31",国内株式_NISA!$N$2:$N$996,"&lt;0")</f>
        <v>-49300</v>
      </c>
      <c r="D8" s="19">
        <f>SUMIFS(国内株式_NISA_配当!$K$2:$K$1003,国内株式_NISA_配当!$A$2:$A$1003,"&gt;=2024/1/1",国内株式_NISA_配当!$A$2:$A$1003,"&lt;=2024/12/31")</f>
        <v>136475</v>
      </c>
      <c r="E8" s="35">
        <f t="shared" ref="E8:E10" si="7">SUM(B8:D8)</f>
        <v>111775</v>
      </c>
      <c r="F8" s="19">
        <f>SUMIFS(国内株式_特定!$N$2:$N$998,国内株式_特定!$B$2:$B$998,"&gt;=2024/1/1",国内株式_特定!$B$2:$B$998,"&lt;=2024/12/31",国内株式_特定!$N$2:$N$998,"&gt;=0")</f>
        <v>2059210</v>
      </c>
      <c r="G8" s="19">
        <f>SUMIFS(国内株式_特定!$N$2:$N$998,国内株式_特定!$B$2:$B$998,"&gt;=2024/1/1",国内株式_特定!$B$2:$B$998,"&lt;=2024/12/31",国内株式_特定!$N$2:$N$998,"&lt;0")</f>
        <v>-1123620</v>
      </c>
      <c r="H8" s="19">
        <f>SUMIFS(国内株式_特定_配当!$H$2:$H$999,国内株式_特定_配当!$A$2:$A$999,"&gt;=2024/1/1",国内株式_特定_配当!$A$2:$A$999,"&lt;=2024/12/31")</f>
        <v>116750</v>
      </c>
      <c r="I8" s="35">
        <f t="shared" ref="I8" si="8">SUM(F8:H8)</f>
        <v>1052340</v>
      </c>
      <c r="J8" s="36">
        <f t="shared" si="1"/>
        <v>838557.12899999996</v>
      </c>
      <c r="K8" s="19">
        <f>SUMIFS(国内株式_信用!$P$2:$P$1000,国内株式_信用!$B$2:$B$1000,"&gt;=2024/1/1",国内株式_信用!$B$2:$B$1000,"&lt;=2024/12/31",国内株式_信用!$P$2:$P$1000,"&gt;=0")</f>
        <v>56820</v>
      </c>
      <c r="L8" s="19">
        <f>SUMIFS(国内株式_信用!$P$2:$P$1000,国内株式_信用!$B$2:$B$1000,"&gt;=2024/1/1",国内株式_信用!$B$2:$B$1000,"&lt;=2024/12/31",国内株式_信用!$P$2:$P$1000,"&lt;0")</f>
        <v>-304780</v>
      </c>
      <c r="M8" s="35">
        <f t="shared" ref="M8" si="9">SUM(K8:L8)</f>
        <v>-247960</v>
      </c>
      <c r="N8" s="36">
        <f t="shared" ref="N8" si="10">IF(M8&gt;0,M8-M8*0.20315,M8)</f>
        <v>-247960</v>
      </c>
      <c r="O8" s="19">
        <f>SUMIFS(投資信託!$K$2:$K$1027,投資信託!$B$2:$B$1027,"&gt;=2024/1/1",投資信託!$B$2:$B$1027,"&lt;=2024/12/31",投資信託!$K$2:$K$1027,"&gt;=0")</f>
        <v>0</v>
      </c>
      <c r="P8" s="19">
        <f>SUMIFS(投資信託!$K$2:$K$1027,投資信託!$B$2:$B$1027,"&gt;=2024/1/1",投資信託!$B$2:$B$1027,"&lt;=2024/12/31",投資信託!$K$2:$K$1027,"&lt;0")</f>
        <v>0</v>
      </c>
      <c r="Q8" s="35">
        <f>SUM(O8:P8)</f>
        <v>0</v>
      </c>
      <c r="R8" s="36">
        <f t="shared" si="5"/>
        <v>0</v>
      </c>
      <c r="S8" s="38">
        <f t="shared" si="6"/>
        <v>702372.12899999996</v>
      </c>
    </row>
    <row r="9" spans="1:22" x14ac:dyDescent="0.45">
      <c r="A9" s="34" t="s">
        <v>291</v>
      </c>
      <c r="B9" s="19">
        <f>SUMIFS(国内株式_NISA!$N$2:$N$996,国内株式_NISA!$B$2:$B$996,"&gt;=2025/1/1",国内株式_NISA!$B$2:$B$996,"&lt;=2025/12/31",国内株式_NISA!$N$2:$N$996,"&gt;=0")</f>
        <v>2486220</v>
      </c>
      <c r="C9" s="19">
        <f>SUMIFS(国内株式_NISA!$N$2:$N$996,国内株式_NISA!$B$2:$B$996,"&gt;=2025/1/1",国内株式_NISA!$B$2:$B$996,"&lt;=2025/12/31",国内株式_NISA!$N$2:$N$996,"&lt;0")</f>
        <v>0</v>
      </c>
      <c r="D9" s="19">
        <f>SUMIFS(国内株式_NISA_配当!$K$2:$K$1003,国内株式_NISA_配当!$A$2:$A$1003,"&gt;=2025/1/1",国内株式_NISA_配当!$A$2:$A$1003,"&lt;=2025/12/31")</f>
        <v>161500</v>
      </c>
      <c r="E9" s="35">
        <f t="shared" si="7"/>
        <v>2647720</v>
      </c>
      <c r="F9" s="19">
        <f>SUMIFS(国内株式_特定!$N$2:$N$998,国内株式_特定!$B$2:$B$998,"&gt;=2025/1/1",国内株式_特定!$B$2:$B$998,"&lt;=2025/12/31",国内株式_特定!$N$2:$N$998,"&gt;=0")</f>
        <v>2657465</v>
      </c>
      <c r="G9" s="19">
        <f>SUMIFS(国内株式_特定!$N$2:$N$998,国内株式_特定!$B$2:$B$998,"&gt;=2025/1/1",国内株式_特定!$B$2:$B$998,"&lt;=2025/12/31",国内株式_特定!$N$2:$N$998,"&lt;0")</f>
        <v>-599245</v>
      </c>
      <c r="H9" s="19">
        <f>SUMIFS(国内株式_特定_配当!$H$2:$H$999,国内株式_特定_配当!$A$2:$A$999,"&gt;=2025/1/1",国内株式_特定_配当!$A$2:$A$999,"&lt;=2025/12/31")</f>
        <v>230205</v>
      </c>
      <c r="I9" s="35">
        <f t="shared" ref="I9:I10" si="11">SUM(F9:H9)</f>
        <v>2288425</v>
      </c>
      <c r="J9" s="36">
        <f t="shared" si="1"/>
        <v>1823531.4612499999</v>
      </c>
      <c r="K9" s="19">
        <f>SUMIFS(国内株式_信用!$P$2:$P$1000,国内株式_信用!$B$2:$B$1000,"&gt;=2025/1/1",国内株式_信用!$B$2:$B$1000,"&lt;=2025/12/31",国内株式_信用!$P$2:$P$1000,"&gt;=0")</f>
        <v>10119</v>
      </c>
      <c r="L9" s="19">
        <f>SUMIFS(国内株式_信用!$P$2:$P$1000,国内株式_信用!$B$2:$B$1000,"&gt;=2025/1/1",国内株式_信用!$B$2:$B$1000,"&lt;=2025/12/31",国内株式_信用!$P$2:$P$1000,"&lt;0")</f>
        <v>0</v>
      </c>
      <c r="M9" s="35">
        <f t="shared" ref="M9:M10" si="12">SUM(K9:L9)</f>
        <v>10119</v>
      </c>
      <c r="N9" s="36">
        <f t="shared" ref="N9:N10" si="13">IF(M9&gt;0,M9-M9*0.20315,M9)</f>
        <v>8063.3251500000006</v>
      </c>
      <c r="O9" s="19">
        <f>SUMIFS(投資信託!$K$2:$K$1027,投資信託!$B$2:$B$1027,"&gt;=2025/1/1",投資信託!$B$2:$B$1027,"&lt;=2025/12/31",投資信託!$K$2:$K$1027,"&gt;=0")</f>
        <v>185421</v>
      </c>
      <c r="P9" s="19">
        <f>SUMIFS(投資信託!$K$2:$K$1027,投資信託!$B$2:$B$1027,"&gt;=2025/1/1",投資信託!$B$2:$B$1027,"&lt;=2025/12/31",投資信託!$K$2:$K$1027,"&lt;0")</f>
        <v>-1071</v>
      </c>
      <c r="Q9" s="35">
        <f t="shared" ref="Q9:Q10" si="14">SUM(O9:P9)</f>
        <v>184350</v>
      </c>
      <c r="R9" s="36">
        <f t="shared" si="5"/>
        <v>146899.29749999999</v>
      </c>
      <c r="S9" s="38">
        <f>SUM(E9,J9,N9,R9)</f>
        <v>4626214.0839</v>
      </c>
    </row>
    <row r="10" spans="1:22" x14ac:dyDescent="0.45">
      <c r="A10" s="34" t="s">
        <v>414</v>
      </c>
      <c r="B10" s="19">
        <f>SUMIFS(国内株式_NISA!$N$2:$N$996,国内株式_NISA!$B$2:$B$996,"&gt;=2026/1/1",国内株式_NISA!$B$2:$B$996,"&lt;=2026/12/31",国内株式_NISA!$N$2:$N$996,"&gt;=0")</f>
        <v>0</v>
      </c>
      <c r="C10" s="19">
        <f>SUMIFS(国内株式_NISA!$N$2:$N$996,国内株式_NISA!$B$2:$B$996,"&gt;=2026/1/1",国内株式_NISA!$B$2:$B$996,"&lt;=2026/12/31",国内株式_NISA!$N$2:$N$996,"&lt;0")</f>
        <v>0</v>
      </c>
      <c r="D10" s="19">
        <f>SUMIFS(国内株式_NISA_配当!$K$2:$K$1003,国内株式_NISA_配当!$A$2:$A$1003,"&gt;=2026/1/1",国内株式_NISA_配当!$A$2:$A$1003,"&lt;=2026/12/31")</f>
        <v>5200</v>
      </c>
      <c r="E10" s="35">
        <f t="shared" si="7"/>
        <v>5200</v>
      </c>
      <c r="F10" s="19">
        <f>SUMIFS(国内株式_特定!$N$2:$N$998,国内株式_特定!$B$2:$B$998,"&gt;=2026/1/1",国内株式_特定!$B$2:$B$998,"&lt;=2026/12/31",国内株式_特定!$N$2:$N$998,"&gt;=0")</f>
        <v>2001360</v>
      </c>
      <c r="G10" s="19">
        <f>SUMIFS(国内株式_特定!$N$2:$N$998,国内株式_特定!$B$2:$B$998,"&gt;=2026/1/1",国内株式_特定!$B$2:$B$998,"&lt;=2026/12/31",国内株式_特定!$N$2:$N$998,"&lt;0")</f>
        <v>-733480</v>
      </c>
      <c r="H10" s="19">
        <f>SUMIFS(国内株式_特定_配当!$H$2:$H$999,国内株式_特定_配当!$A$2:$A$999,"&gt;=2026/1/1",国内株式_特定_配当!$A$2:$A$999,"&lt;=2026/12/31")</f>
        <v>18175</v>
      </c>
      <c r="I10" s="35">
        <f t="shared" si="11"/>
        <v>1286055</v>
      </c>
      <c r="J10" s="36">
        <f t="shared" si="1"/>
        <v>1024792.92675</v>
      </c>
      <c r="K10" s="19">
        <f>SUMIFS(国内株式_信用!$P$2:$P$1000,国内株式_信用!$B$2:$B$1000,"&gt;=2026/1/1",国内株式_信用!$B$2:$B$1000,"&lt;=2026/12/31",国内株式_信用!$P$2:$P$1000,"&gt;=0")</f>
        <v>263900</v>
      </c>
      <c r="L10" s="19">
        <f>SUMIFS(国内株式_信用!$P$2:$P$1000,国内株式_信用!$B$2:$B$1000,"&gt;=2026/1/1",国内株式_信用!$B$2:$B$1000,"&lt;=2026/12/31",国内株式_信用!$P$2:$P$1000,"&lt;0")</f>
        <v>-3810</v>
      </c>
      <c r="M10" s="35">
        <f t="shared" si="12"/>
        <v>260090</v>
      </c>
      <c r="N10" s="36">
        <f t="shared" si="13"/>
        <v>207252.71650000001</v>
      </c>
      <c r="O10" s="19">
        <f>SUMIFS(投資信託!$K$2:$K$1027,投資信託!$B$2:$B$1027,"&gt;=2026/1/1",投資信託!$B$2:$B$1027,"&lt;=2026/12/31",投資信託!$K$2:$K$1027,"&gt;=0")</f>
        <v>0</v>
      </c>
      <c r="P10" s="19">
        <f>SUMIFS(投資信託!$K$2:$K$1027,投資信託!$B$2:$B$1027,"&gt;=2026/1/1",投資信託!$B$2:$B$1027,"&lt;=2026/12/31",投資信託!$K$2:$K$1027,"&lt;0")</f>
        <v>0</v>
      </c>
      <c r="Q10" s="35">
        <f t="shared" si="14"/>
        <v>0</v>
      </c>
      <c r="R10" s="36">
        <f t="shared" si="5"/>
        <v>0</v>
      </c>
      <c r="S10" s="38">
        <f>SUM(E10,J10,N10,R10)</f>
        <v>1237245.64325</v>
      </c>
    </row>
    <row r="16" spans="1:22" x14ac:dyDescent="0.45">
      <c r="G16" s="47"/>
    </row>
    <row r="17" spans="7:8" x14ac:dyDescent="0.45">
      <c r="G17" s="47"/>
    </row>
    <row r="18" spans="7:8" x14ac:dyDescent="0.45">
      <c r="H18" s="26"/>
    </row>
  </sheetData>
  <mergeCells count="20">
    <mergeCell ref="D2:D3"/>
    <mergeCell ref="B2:C2"/>
    <mergeCell ref="E2:E3"/>
    <mergeCell ref="B1:E1"/>
    <mergeCell ref="F2:G2"/>
    <mergeCell ref="U3:V3"/>
    <mergeCell ref="U4:V4"/>
    <mergeCell ref="H2:H3"/>
    <mergeCell ref="I2:I3"/>
    <mergeCell ref="F1:J1"/>
    <mergeCell ref="S2:S3"/>
    <mergeCell ref="J2:J3"/>
    <mergeCell ref="K1:N1"/>
    <mergeCell ref="K2:L2"/>
    <mergeCell ref="M2:M3"/>
    <mergeCell ref="N2:N3"/>
    <mergeCell ref="O2:P2"/>
    <mergeCell ref="O1:R1"/>
    <mergeCell ref="Q2:Q3"/>
    <mergeCell ref="R2:R3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22063-B009-4E0F-B4E7-0FDFE92B856C}">
  <sheetPr>
    <tabColor theme="7" tint="0.79998168889431442"/>
  </sheetPr>
  <dimension ref="A1:L18"/>
  <sheetViews>
    <sheetView zoomScale="80" zoomScaleNormal="80" workbookViewId="0">
      <selection activeCell="O8" sqref="O8"/>
    </sheetView>
  </sheetViews>
  <sheetFormatPr defaultRowHeight="18" x14ac:dyDescent="0.45"/>
  <cols>
    <col min="1" max="1" width="10.59765625" style="2" customWidth="1"/>
    <col min="2" max="11" width="10.59765625" customWidth="1"/>
    <col min="12" max="12" width="9.69921875" customWidth="1"/>
  </cols>
  <sheetData>
    <row r="1" spans="1:12" x14ac:dyDescent="0.45">
      <c r="B1" s="55" t="s">
        <v>417</v>
      </c>
      <c r="C1" s="55"/>
      <c r="D1" s="55"/>
      <c r="E1" s="55"/>
      <c r="F1" s="55" t="s">
        <v>416</v>
      </c>
      <c r="G1" s="55"/>
      <c r="H1" s="55"/>
      <c r="I1" s="55"/>
      <c r="J1" s="55"/>
      <c r="K1" s="69" t="s">
        <v>219</v>
      </c>
      <c r="L1" s="69"/>
    </row>
    <row r="2" spans="1:12" x14ac:dyDescent="0.45">
      <c r="B2" s="57" t="s">
        <v>212</v>
      </c>
      <c r="C2" s="57"/>
      <c r="D2" s="68" t="s">
        <v>418</v>
      </c>
      <c r="E2" s="58" t="s">
        <v>214</v>
      </c>
      <c r="F2" s="57" t="s">
        <v>212</v>
      </c>
      <c r="G2" s="57"/>
      <c r="H2" s="68" t="s">
        <v>418</v>
      </c>
      <c r="I2" s="58" t="s">
        <v>214</v>
      </c>
      <c r="J2" s="60" t="s">
        <v>217</v>
      </c>
      <c r="K2" s="59" t="s">
        <v>214</v>
      </c>
      <c r="L2" s="70" t="s">
        <v>418</v>
      </c>
    </row>
    <row r="3" spans="1:12" x14ac:dyDescent="0.45">
      <c r="B3" s="33" t="s">
        <v>206</v>
      </c>
      <c r="C3" s="33" t="s">
        <v>207</v>
      </c>
      <c r="D3" s="66"/>
      <c r="E3" s="67"/>
      <c r="F3" s="32" t="s">
        <v>206</v>
      </c>
      <c r="G3" s="32" t="s">
        <v>207</v>
      </c>
      <c r="H3" s="66"/>
      <c r="I3" s="58"/>
      <c r="J3" s="58"/>
      <c r="K3" s="59"/>
      <c r="L3" s="71"/>
    </row>
    <row r="4" spans="1:12" x14ac:dyDescent="0.45">
      <c r="A4" s="34" t="s">
        <v>215</v>
      </c>
      <c r="B4" s="20">
        <f>SUM(B5:B100)</f>
        <v>271090</v>
      </c>
      <c r="C4" s="20">
        <f>SUM(C5:C100)</f>
        <v>0</v>
      </c>
      <c r="D4" s="51">
        <f>SUM(D5:D100)</f>
        <v>243.62</v>
      </c>
      <c r="E4" s="35">
        <f>SUM(B4:C4)</f>
        <v>271090</v>
      </c>
      <c r="F4" s="20">
        <f>SUM(F5:F100)</f>
        <v>814317.63481333316</v>
      </c>
      <c r="G4" s="20">
        <f>SUM(G5:G100)</f>
        <v>-64355.0412</v>
      </c>
      <c r="H4" s="51">
        <f>SUM(H5:H100)</f>
        <v>374.22</v>
      </c>
      <c r="I4" s="35">
        <f>SUM(F4:G4)</f>
        <v>749962.59361333319</v>
      </c>
      <c r="J4" s="35">
        <f>SUM(J5:J100)</f>
        <v>596601.31492414465</v>
      </c>
      <c r="K4" s="38">
        <f>SUM(E4,J4)</f>
        <v>867691.31492414465</v>
      </c>
      <c r="L4" s="53">
        <f>D4+H4</f>
        <v>617.84</v>
      </c>
    </row>
    <row r="5" spans="1:12" x14ac:dyDescent="0.45">
      <c r="A5" s="34" t="s">
        <v>208</v>
      </c>
      <c r="B5" s="19">
        <f>SUMIFS(米国株式!$S$2:$S$996,米国株式!$B$2:$B$996,"&gt;=2021/1/1",米国株式!$B$2:$B$996,"&lt;=2021/12/31",米国株式!$E$2:$E$996,"=NISA",米国株式!$S$2:$S$996,"&gt;=0")</f>
        <v>0</v>
      </c>
      <c r="C5" s="19">
        <f>SUMIFS(米国株式!$S$2:$S$996,米国株式!$B$2:$B$996,"&gt;=2021/1/1",米国株式!$B$2:$B$996,"&lt;=2021/12/31",米国株式!$E$2:$E$996,"=NISA",米国株式!$S$2:$S$996,"&lt;0")</f>
        <v>0</v>
      </c>
      <c r="D5" s="25">
        <f>SUMIFS(米国株式_配当!$K$2:$K$1000,米国株式_配当!$A$2:$A$1000,"&gt;=2021/1/1",米国株式_配当!$A$2:$A$1000,"&lt;=2021/12/31",米国株式_配当!$C$2:$C$1000,"=NISA")</f>
        <v>22.68</v>
      </c>
      <c r="E5" s="35">
        <f>SUM(B5:C5)</f>
        <v>0</v>
      </c>
      <c r="F5" s="19">
        <f>SUMIFS(米国株式!$S$2:$S$1000,米国株式!$B$2:$B$1000,"&gt;=2021/1/1",米国株式!$B$2:$B$1000,"&lt;=2021/12/31",米国株式!$E$2:$E$1000,"=特定",米国株式!$S$2:$S$1000,"&gt;=0")</f>
        <v>0</v>
      </c>
      <c r="G5" s="19">
        <f>SUMIFS(米国株式!$S$2:$S$1000,米国株式!$B$2:$B$1000,"&gt;=2021/1/1",米国株式!$B$2:$B$1000,"&lt;=2021/12/31",米国株式!$E$2:$E$1000,"=特定",米国株式!$S$2:$S$1000,"&lt;0")</f>
        <v>0</v>
      </c>
      <c r="H5" s="25">
        <f>SUMIFS(米国株式_配当!$K$2:$K$1000,米国株式_配当!$A$2:$A$1000,"&gt;=2021/1/1",米国株式_配当!$A$2:$A$1000,"&lt;=2021/12/31",米国株式_配当!$C$2:$C$1000,"=特定")</f>
        <v>0</v>
      </c>
      <c r="I5" s="35">
        <f t="shared" ref="I5:I10" si="0">SUM(F5:G5)</f>
        <v>0</v>
      </c>
      <c r="J5" s="36">
        <f t="shared" ref="J5:J10" si="1">IF(I5&gt;0,I5-I5*0.20315,I5)</f>
        <v>0</v>
      </c>
      <c r="K5" s="38">
        <f t="shared" ref="K5:K10" si="2">SUM(E5,J5)</f>
        <v>0</v>
      </c>
      <c r="L5" s="52"/>
    </row>
    <row r="6" spans="1:12" x14ac:dyDescent="0.45">
      <c r="A6" s="34" t="s">
        <v>209</v>
      </c>
      <c r="B6" s="19">
        <f>SUMIFS(米国株式!$S$2:$S$996,米国株式!$B$2:$B$996,"&gt;=2022/1/1",米国株式!$B$2:$B$996,"&lt;=2022/12/31",米国株式!$E$2:$E$996,"=NISA",米国株式!$S$2:$S$996,"&gt;=0")</f>
        <v>168352</v>
      </c>
      <c r="C6" s="19">
        <f>SUMIFS(米国株式!$S$2:$S$996,米国株式!$B$2:$B$996,"&gt;=2022/1/1",米国株式!$B$2:$B$996,"&lt;=2022/12/31",米国株式!$E$2:$E$996,"=NISA",米国株式!$S$2:$S$996,"&lt;0")</f>
        <v>0</v>
      </c>
      <c r="D6" s="25">
        <f>SUMIFS(米国株式_配当!$K$2:$K$1000,米国株式_配当!$A$2:$A$1000,"&gt;=2022/1/1",米国株式_配当!$A$2:$A$1000,"&lt;=2022/12/31",米国株式_配当!$C$2:$C$1000,"=NISA")</f>
        <v>139.09</v>
      </c>
      <c r="E6" s="35">
        <f t="shared" ref="E6:E10" si="3">SUM(B6:C6)</f>
        <v>168352</v>
      </c>
      <c r="F6" s="19">
        <f>SUMIFS(米国株式!$S$2:$S$1000,米国株式!$B$2:$B$1000,"&gt;=2022/1/1",米国株式!$B$2:$B$1000,"&lt;=2022/12/31",米国株式!$E$2:$E$1000,"=特定",米国株式!$S$2:$S$1000,"&gt;=0")</f>
        <v>2477.1236133333332</v>
      </c>
      <c r="G6" s="19">
        <f>SUMIFS(米国株式!$S$2:$S$1000,米国株式!$B$2:$B$1000,"&gt;=2022/1/1",米国株式!$B$2:$B$1000,"&lt;=2022/12/31",米国株式!$E$2:$E$1000,"=特定",米国株式!$S$2:$S$1000,"&lt;0")</f>
        <v>0</v>
      </c>
      <c r="H6" s="25">
        <f>SUMIFS(米国株式_配当!$K$2:$K$1000,米国株式_配当!$A$2:$A$1000,"&gt;=2022/1/1",米国株式_配当!$A$2:$A$1000,"&lt;=2022/12/31",米国株式_配当!$C$2:$C$1000,"=特定")</f>
        <v>23.45</v>
      </c>
      <c r="I6" s="35">
        <f t="shared" si="0"/>
        <v>2477.1236133333332</v>
      </c>
      <c r="J6" s="36">
        <f t="shared" si="1"/>
        <v>1973.8959512846666</v>
      </c>
      <c r="K6" s="38">
        <f t="shared" si="2"/>
        <v>170325.89595128468</v>
      </c>
      <c r="L6" s="52"/>
    </row>
    <row r="7" spans="1:12" x14ac:dyDescent="0.45">
      <c r="A7" s="34" t="s">
        <v>210</v>
      </c>
      <c r="B7" s="19">
        <f>SUMIFS(米国株式!$S$2:$S$996,米国株式!$B$2:$B$996,"&gt;=2023/1/1",米国株式!$B$2:$B$996,"&lt;=2023/12/31",米国株式!$E$2:$E$996,"=NISA",米国株式!$S$2:$S$996,"&gt;=0")</f>
        <v>23642</v>
      </c>
      <c r="C7" s="19">
        <f>SUMIFS(米国株式!$S$2:$S$996,米国株式!$B$2:$B$996,"&gt;=2023/1/1",米国株式!$B$2:$B$996,"&lt;=2023/12/31",米国株式!$E$2:$E$996,"=NISA",米国株式!$S$2:$S$996,"&lt;0")</f>
        <v>0</v>
      </c>
      <c r="D7" s="25">
        <f>SUMIFS(米国株式_配当!$K$2:$K$1000,米国株式_配当!$A$2:$A$1000,"&gt;=2023/1/1",米国株式_配当!$A$2:$A$1000,"&lt;=2023/12/31",米国株式_配当!$C$2:$C$1000,"=NISA")</f>
        <v>35.01</v>
      </c>
      <c r="E7" s="35">
        <f t="shared" si="3"/>
        <v>23642</v>
      </c>
      <c r="F7" s="19">
        <f>SUMIFS(米国株式!$S$2:$S$1000,米国株式!$B$2:$B$1000,"&gt;=2023/1/1",米国株式!$B$2:$B$1000,"&lt;=2023/12/31",米国株式!$E$2:$E$1000,"=特定",米国株式!$S$2:$S$1000,"&gt;=0")</f>
        <v>6857.8033999999989</v>
      </c>
      <c r="G7" s="19">
        <f>SUMIFS(米国株式!$S$2:$S$1000,米国株式!$B$2:$B$1000,"&gt;=2023/1/1",米国株式!$B$2:$B$1000,"&lt;=2023/12/31",米国株式!$E$2:$E$1000,"=特定",米国株式!$S$2:$S$1000,"&lt;0")</f>
        <v>-11811.669</v>
      </c>
      <c r="H7" s="25">
        <f>SUMIFS(米国株式_配当!$K$2:$K$1000,米国株式_配当!$A$2:$A$1000,"&gt;=2023/1/1",米国株式_配当!$A$2:$A$1000,"&lt;=2023/12/31",米国株式_配当!$C$2:$C$1000,"=特定")</f>
        <v>205.48</v>
      </c>
      <c r="I7" s="35">
        <f t="shared" si="0"/>
        <v>-4953.865600000001</v>
      </c>
      <c r="J7" s="36">
        <f t="shared" si="1"/>
        <v>-4953.865600000001</v>
      </c>
      <c r="K7" s="38">
        <f t="shared" si="2"/>
        <v>18688.134399999999</v>
      </c>
    </row>
    <row r="8" spans="1:12" x14ac:dyDescent="0.45">
      <c r="A8" s="34" t="s">
        <v>232</v>
      </c>
      <c r="B8" s="19">
        <f>SUMIFS(米国株式!$S$2:$S$996,米国株式!$B$2:$B$996,"&gt;=2024/1/1",米国株式!$B$2:$B$996,"&lt;=2024/12/31",米国株式!$E$2:$E$996,"=NISA",米国株式!$S$2:$S$996,"&gt;=0")</f>
        <v>0</v>
      </c>
      <c r="C8" s="19">
        <f>SUMIFS(米国株式!$S$2:$S$996,米国株式!$B$2:$B$996,"&gt;=2024/1/1",米国株式!$B$2:$B$996,"&lt;=2024/12/31",米国株式!$E$2:$E$996,"=NISA",米国株式!$S$2:$S$996,"&lt;0")</f>
        <v>0</v>
      </c>
      <c r="D8" s="25">
        <f>SUMIFS(米国株式_配当!$K$2:$K$1000,米国株式_配当!$A$2:$A$1000,"&gt;=2024/1/1",米国株式_配当!$A$2:$A$1000,"&lt;=2024/12/31",米国株式_配当!$C$2:$C$1000,"=NISA")</f>
        <v>26.2</v>
      </c>
      <c r="E8" s="35">
        <f t="shared" si="3"/>
        <v>0</v>
      </c>
      <c r="F8" s="19">
        <f>SUMIFS(米国株式!$S$2:$S$1000,米国株式!$B$2:$B$1000,"&gt;=2024/1/1",米国株式!$B$2:$B$1000,"&lt;=2024/12/31",米国株式!$E$2:$E$1000,"=特定",米国株式!$S$2:$S$1000,"&gt;=0")</f>
        <v>340103.22399999999</v>
      </c>
      <c r="G8" s="19">
        <f>SUMIFS(米国株式!$S$2:$S$1000,米国株式!$B$2:$B$1000,"&gt;=2024/1/1",米国株式!$B$2:$B$1000,"&lt;=2024/12/31",米国株式!$E$2:$E$1000,"=特定",米国株式!$S$2:$S$1000,"&lt;0")</f>
        <v>-52543.372199999998</v>
      </c>
      <c r="H8" s="25">
        <f>SUMIFS(米国株式_配当!$K$2:$K$1000,米国株式_配当!$A$2:$A$1000,"&gt;=2024/1/1",米国株式_配当!$A$2:$A$1000,"&lt;=2024/12/31",米国株式_配当!$C$2:$C$1000,"=特定")</f>
        <v>107.82000000000002</v>
      </c>
      <c r="I8" s="35">
        <f t="shared" si="0"/>
        <v>287559.8518</v>
      </c>
      <c r="J8" s="36">
        <f t="shared" si="1"/>
        <v>229142.06790682999</v>
      </c>
      <c r="K8" s="38">
        <f t="shared" si="2"/>
        <v>229142.06790682999</v>
      </c>
    </row>
    <row r="9" spans="1:12" x14ac:dyDescent="0.45">
      <c r="A9" s="34" t="s">
        <v>291</v>
      </c>
      <c r="B9" s="19">
        <f>SUMIFS(米国株式!$S$2:$S$996,米国株式!$B$2:$B$996,"&gt;=2025/1/1",米国株式!$B$2:$B$996,"&lt;=2025/12/31",米国株式!$E$2:$E$996,"=NISA",米国株式!$S$2:$S$996,"&gt;=0")</f>
        <v>79096</v>
      </c>
      <c r="C9" s="19">
        <f>SUMIFS(米国株式!$S$2:$S$996,米国株式!$B$2:$B$996,"&gt;=2025/1/1",米国株式!$B$2:$B$996,"&lt;=2025/12/31",米国株式!$E$2:$E$996,"=NISA",米国株式!$S$2:$S$996,"&lt;0")</f>
        <v>0</v>
      </c>
      <c r="D9" s="25">
        <f>SUMIFS(米国株式_配当!$K$2:$K$1000,米国株式_配当!$A$2:$A$1000,"&gt;=2025/1/1",米国株式_配当!$A$2:$A$1000,"&lt;=2025/12/31",米国株式_配当!$C$2:$C$1000,"=NISA")</f>
        <v>20.64</v>
      </c>
      <c r="E9" s="35">
        <f t="shared" si="3"/>
        <v>79096</v>
      </c>
      <c r="F9" s="19">
        <f>SUMIFS(米国株式!$S$2:$S$1000,米国株式!$B$2:$B$1000,"&gt;=2025/1/1",米国株式!$B$2:$B$1000,"&lt;=2025/12/31",米国株式!$E$2:$E$1000,"=特定",米国株式!$S$2:$S$1000,"&gt;=0")</f>
        <v>227380.5638</v>
      </c>
      <c r="G9" s="19">
        <f>SUMIFS(米国株式!$S$2:$S$1000,米国株式!$B$2:$B$1000,"&gt;=2025/1/1",米国株式!$B$2:$B$1000,"&lt;=2025/12/31",米国株式!$E$2:$E$1000,"=特定",米国株式!$S$2:$S$1000,"&lt;0")</f>
        <v>0</v>
      </c>
      <c r="H9" s="25">
        <f>SUMIFS(米国株式_配当!$K$2:$K$1000,米国株式_配当!$A$2:$A$1000,"&gt;=2025/1/1",米国株式_配当!$A$2:$A$1000,"&lt;=2025/12/31",米国株式_配当!$C$2:$C$1000,"=特定")</f>
        <v>37.470000000000006</v>
      </c>
      <c r="I9" s="35">
        <f t="shared" si="0"/>
        <v>227380.5638</v>
      </c>
      <c r="J9" s="36">
        <f t="shared" si="1"/>
        <v>181188.20226403</v>
      </c>
      <c r="K9" s="38">
        <f t="shared" si="2"/>
        <v>260284.20226403</v>
      </c>
    </row>
    <row r="10" spans="1:12" x14ac:dyDescent="0.45">
      <c r="A10" s="34" t="s">
        <v>414</v>
      </c>
      <c r="B10" s="19">
        <f>SUMIFS(米国株式!$S$2:$S$996,米国株式!$B$2:$B$996,"&gt;=2026/1/1",米国株式!$B$2:$B$996,"&lt;=2026/12/31",米国株式!$E$2:$E$996,"=NISA",米国株式!$S$2:$S$996,"&gt;=0")</f>
        <v>0</v>
      </c>
      <c r="C10" s="19">
        <f>SUMIFS(米国株式!$S$2:$S$996,米国株式!$B$2:$B$996,"&gt;=2026/1/1",米国株式!$B$2:$B$996,"&lt;=2026/12/31",米国株式!$E$2:$E$996,"=NISA",米国株式!$S$2:$S$996,"&lt;0")</f>
        <v>0</v>
      </c>
      <c r="D10" s="25">
        <f>SUMIFS(米国株式_配当!$K$2:$K$1000,米国株式_配当!$A$2:$A$1000,"&gt;=2026/1/1",米国株式_配当!$A$2:$A$1000,"&lt;=2026/12/31",米国株式_配当!$C$2:$C$1000,"=NISA")</f>
        <v>0</v>
      </c>
      <c r="E10" s="35">
        <f t="shared" si="3"/>
        <v>0</v>
      </c>
      <c r="F10" s="19">
        <f>SUMIFS(米国株式!$S$2:$S$1000,米国株式!$B$2:$B$1000,"&gt;=2026/1/1",米国株式!$B$2:$B$1000,"&lt;=2026/12/31",米国株式!$E$2:$E$1000,"=特定",米国株式!$S$2:$S$1000,"&gt;=0")</f>
        <v>237498.91999999998</v>
      </c>
      <c r="G10" s="19">
        <f>SUMIFS(米国株式!$S$2:$S$1000,米国株式!$B$2:$B$1000,"&gt;=2026/1/1",米国株式!$B$2:$B$1000,"&lt;=2026/12/31",米国株式!$E$2:$E$1000,"=特定",米国株式!$S$2:$S$1000,"&lt;0")</f>
        <v>0</v>
      </c>
      <c r="H10" s="25">
        <f>SUMIFS(米国株式_配当!$K$2:$K$1000,米国株式_配当!$A$2:$A$1000,"&gt;=2026/1/1",米国株式_配当!$A$2:$A$1000,"&lt;=2026/12/31",米国株式_配当!$C$2:$C$1000,"=特定")</f>
        <v>0</v>
      </c>
      <c r="I10" s="35">
        <f t="shared" si="0"/>
        <v>237498.91999999998</v>
      </c>
      <c r="J10" s="36">
        <f t="shared" si="1"/>
        <v>189251.014402</v>
      </c>
      <c r="K10" s="38">
        <f t="shared" si="2"/>
        <v>189251.014402</v>
      </c>
    </row>
    <row r="16" spans="1:12" x14ac:dyDescent="0.45">
      <c r="G16" s="47"/>
    </row>
    <row r="17" spans="7:8" x14ac:dyDescent="0.45">
      <c r="G17" s="47"/>
    </row>
    <row r="18" spans="7:8" x14ac:dyDescent="0.45">
      <c r="H18" s="26"/>
    </row>
  </sheetData>
  <mergeCells count="12">
    <mergeCell ref="K2:K3"/>
    <mergeCell ref="J2:J3"/>
    <mergeCell ref="B1:E1"/>
    <mergeCell ref="F1:J1"/>
    <mergeCell ref="B2:C2"/>
    <mergeCell ref="D2:D3"/>
    <mergeCell ref="E2:E3"/>
    <mergeCell ref="F2:G2"/>
    <mergeCell ref="H2:H3"/>
    <mergeCell ref="I2:I3"/>
    <mergeCell ref="K1:L1"/>
    <mergeCell ref="L2:L3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A1:N62"/>
  <sheetViews>
    <sheetView zoomScaleNormal="100" workbookViewId="0">
      <pane xSplit="4" ySplit="1" topLeftCell="K48" activePane="bottomRight" state="frozen"/>
      <selection pane="topRight" activeCell="E1" sqref="E1"/>
      <selection pane="bottomLeft" activeCell="A2" sqref="A2"/>
      <selection pane="bottomRight" activeCell="D65" sqref="D65"/>
    </sheetView>
  </sheetViews>
  <sheetFormatPr defaultRowHeight="18" x14ac:dyDescent="0.45"/>
  <cols>
    <col min="1" max="2" width="11.296875" style="1" customWidth="1"/>
    <col min="3" max="3" width="15.09765625" style="2" bestFit="1" customWidth="1"/>
    <col min="4" max="4" width="27.3984375" style="1" customWidth="1"/>
    <col min="5" max="5" width="14.59765625" style="2" bestFit="1" customWidth="1"/>
    <col min="6" max="7" width="13" style="2" bestFit="1" customWidth="1"/>
    <col min="8" max="8" width="15.09765625" style="2" bestFit="1" customWidth="1"/>
    <col min="9" max="9" width="15.09765625" style="27" bestFit="1" customWidth="1"/>
    <col min="10" max="12" width="15.09765625" style="27" customWidth="1"/>
    <col min="13" max="13" width="19.19921875" style="26" bestFit="1" customWidth="1"/>
    <col min="14" max="14" width="16.69921875" style="3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16" t="s">
        <v>15</v>
      </c>
      <c r="N1" s="13" t="s">
        <v>165</v>
      </c>
    </row>
    <row r="2" spans="1:14" x14ac:dyDescent="0.45">
      <c r="A2" s="4">
        <v>44146</v>
      </c>
      <c r="B2" s="4">
        <v>44148</v>
      </c>
      <c r="C2" s="5">
        <v>4917</v>
      </c>
      <c r="D2" s="6" t="s">
        <v>27</v>
      </c>
      <c r="E2" s="5" t="s">
        <v>258</v>
      </c>
      <c r="F2" s="5" t="s">
        <v>29</v>
      </c>
      <c r="G2" s="5" t="s">
        <v>30</v>
      </c>
      <c r="H2" s="5">
        <v>100</v>
      </c>
      <c r="I2" s="25">
        <v>1703.8</v>
      </c>
      <c r="J2" s="19">
        <v>0</v>
      </c>
      <c r="K2" s="19">
        <v>0</v>
      </c>
      <c r="L2" s="25" t="s">
        <v>304</v>
      </c>
      <c r="M2" s="19">
        <f t="shared" ref="M2:M31" si="0">H2*I2</f>
        <v>170380</v>
      </c>
      <c r="N2" s="14">
        <v>0</v>
      </c>
    </row>
    <row r="3" spans="1:14" x14ac:dyDescent="0.45">
      <c r="A3" s="4">
        <v>44160</v>
      </c>
      <c r="B3" s="4">
        <v>44162</v>
      </c>
      <c r="C3" s="5">
        <v>3087</v>
      </c>
      <c r="D3" s="6" t="s">
        <v>32</v>
      </c>
      <c r="E3" s="5" t="s">
        <v>258</v>
      </c>
      <c r="F3" s="5" t="s">
        <v>29</v>
      </c>
      <c r="G3" s="5" t="s">
        <v>30</v>
      </c>
      <c r="H3" s="5">
        <v>100</v>
      </c>
      <c r="I3" s="25">
        <v>1506.6</v>
      </c>
      <c r="J3" s="19">
        <v>0</v>
      </c>
      <c r="K3" s="19">
        <v>0</v>
      </c>
      <c r="L3" s="25" t="s">
        <v>304</v>
      </c>
      <c r="M3" s="19">
        <f t="shared" si="0"/>
        <v>150660</v>
      </c>
      <c r="N3" s="14">
        <v>0</v>
      </c>
    </row>
    <row r="4" spans="1:14" x14ac:dyDescent="0.45">
      <c r="A4" s="4">
        <v>44165</v>
      </c>
      <c r="B4" s="4">
        <v>44167</v>
      </c>
      <c r="C4" s="5">
        <v>3402</v>
      </c>
      <c r="D4" s="6" t="s">
        <v>33</v>
      </c>
      <c r="E4" s="5" t="s">
        <v>258</v>
      </c>
      <c r="F4" s="5" t="s">
        <v>29</v>
      </c>
      <c r="G4" s="5" t="s">
        <v>30</v>
      </c>
      <c r="H4" s="5">
        <v>100</v>
      </c>
      <c r="I4" s="25">
        <v>580</v>
      </c>
      <c r="J4" s="19">
        <v>0</v>
      </c>
      <c r="K4" s="19">
        <v>0</v>
      </c>
      <c r="L4" s="25" t="s">
        <v>304</v>
      </c>
      <c r="M4" s="19">
        <f t="shared" si="0"/>
        <v>58000</v>
      </c>
      <c r="N4" s="14">
        <v>0</v>
      </c>
    </row>
    <row r="5" spans="1:14" x14ac:dyDescent="0.45">
      <c r="A5" s="4">
        <v>44172</v>
      </c>
      <c r="B5" s="4">
        <v>44174</v>
      </c>
      <c r="C5" s="5">
        <v>7011</v>
      </c>
      <c r="D5" s="6" t="s">
        <v>34</v>
      </c>
      <c r="E5" s="5" t="s">
        <v>258</v>
      </c>
      <c r="F5" s="5" t="s">
        <v>29</v>
      </c>
      <c r="G5" s="5" t="s">
        <v>30</v>
      </c>
      <c r="H5" s="5">
        <v>100</v>
      </c>
      <c r="I5" s="25">
        <v>2590</v>
      </c>
      <c r="J5" s="19">
        <v>0</v>
      </c>
      <c r="K5" s="19">
        <v>0</v>
      </c>
      <c r="L5" s="25" t="s">
        <v>304</v>
      </c>
      <c r="M5" s="19">
        <f t="shared" si="0"/>
        <v>259000</v>
      </c>
      <c r="N5" s="14">
        <v>0</v>
      </c>
    </row>
    <row r="6" spans="1:14" x14ac:dyDescent="0.45">
      <c r="A6" s="4">
        <v>44172</v>
      </c>
      <c r="B6" s="4">
        <v>44174</v>
      </c>
      <c r="C6" s="5">
        <v>7751</v>
      </c>
      <c r="D6" s="6" t="s">
        <v>35</v>
      </c>
      <c r="E6" s="5" t="s">
        <v>258</v>
      </c>
      <c r="F6" s="5" t="s">
        <v>29</v>
      </c>
      <c r="G6" s="5" t="s">
        <v>30</v>
      </c>
      <c r="H6" s="5">
        <v>100</v>
      </c>
      <c r="I6" s="25">
        <v>2009</v>
      </c>
      <c r="J6" s="19">
        <v>0</v>
      </c>
      <c r="K6" s="19">
        <v>0</v>
      </c>
      <c r="L6" s="25" t="s">
        <v>304</v>
      </c>
      <c r="M6" s="19">
        <f t="shared" si="0"/>
        <v>200900</v>
      </c>
      <c r="N6" s="14">
        <v>0</v>
      </c>
    </row>
    <row r="7" spans="1:14" x14ac:dyDescent="0.45">
      <c r="A7" s="4">
        <v>44186</v>
      </c>
      <c r="B7" s="4">
        <v>44188</v>
      </c>
      <c r="C7" s="5">
        <v>7912</v>
      </c>
      <c r="D7" s="6" t="s">
        <v>36</v>
      </c>
      <c r="E7" s="5" t="s">
        <v>258</v>
      </c>
      <c r="F7" s="5" t="s">
        <v>29</v>
      </c>
      <c r="G7" s="5" t="s">
        <v>30</v>
      </c>
      <c r="H7" s="5">
        <v>100</v>
      </c>
      <c r="I7" s="25">
        <v>1890</v>
      </c>
      <c r="J7" s="19">
        <v>0</v>
      </c>
      <c r="K7" s="19">
        <v>0</v>
      </c>
      <c r="L7" s="25" t="s">
        <v>304</v>
      </c>
      <c r="M7" s="19">
        <f t="shared" si="0"/>
        <v>189000</v>
      </c>
      <c r="N7" s="14">
        <v>0</v>
      </c>
    </row>
    <row r="8" spans="1:14" x14ac:dyDescent="0.45">
      <c r="A8" s="4">
        <v>44187</v>
      </c>
      <c r="B8" s="4">
        <v>44189</v>
      </c>
      <c r="C8" s="5">
        <v>8306</v>
      </c>
      <c r="D8" s="6" t="s">
        <v>37</v>
      </c>
      <c r="E8" s="5" t="s">
        <v>258</v>
      </c>
      <c r="F8" s="5" t="s">
        <v>29</v>
      </c>
      <c r="G8" s="5" t="s">
        <v>30</v>
      </c>
      <c r="H8" s="5">
        <v>100</v>
      </c>
      <c r="I8" s="25">
        <v>454</v>
      </c>
      <c r="J8" s="19">
        <v>0</v>
      </c>
      <c r="K8" s="19">
        <v>0</v>
      </c>
      <c r="L8" s="25" t="s">
        <v>304</v>
      </c>
      <c r="M8" s="19">
        <f t="shared" si="0"/>
        <v>45400</v>
      </c>
      <c r="N8" s="14">
        <v>0</v>
      </c>
    </row>
    <row r="9" spans="1:14" x14ac:dyDescent="0.45">
      <c r="A9" s="4">
        <v>44202</v>
      </c>
      <c r="B9" s="4">
        <v>44204</v>
      </c>
      <c r="C9" s="5">
        <v>1802</v>
      </c>
      <c r="D9" s="6" t="s">
        <v>38</v>
      </c>
      <c r="E9" s="5" t="s">
        <v>258</v>
      </c>
      <c r="F9" s="5" t="s">
        <v>29</v>
      </c>
      <c r="G9" s="5" t="s">
        <v>30</v>
      </c>
      <c r="H9" s="5">
        <v>100</v>
      </c>
      <c r="I9" s="25">
        <v>875</v>
      </c>
      <c r="J9" s="19">
        <v>0</v>
      </c>
      <c r="K9" s="19">
        <v>0</v>
      </c>
      <c r="L9" s="25" t="s">
        <v>304</v>
      </c>
      <c r="M9" s="19">
        <f t="shared" si="0"/>
        <v>87500</v>
      </c>
      <c r="N9" s="14">
        <v>0</v>
      </c>
    </row>
    <row r="10" spans="1:14" x14ac:dyDescent="0.45">
      <c r="A10" s="4">
        <v>44204</v>
      </c>
      <c r="B10" s="4">
        <v>44209</v>
      </c>
      <c r="C10" s="5">
        <v>1963</v>
      </c>
      <c r="D10" s="6" t="s">
        <v>39</v>
      </c>
      <c r="E10" s="5" t="s">
        <v>258</v>
      </c>
      <c r="F10" s="5" t="s">
        <v>29</v>
      </c>
      <c r="G10" s="5" t="s">
        <v>30</v>
      </c>
      <c r="H10" s="5">
        <v>100</v>
      </c>
      <c r="I10" s="25">
        <v>1094</v>
      </c>
      <c r="J10" s="19">
        <v>0</v>
      </c>
      <c r="K10" s="19">
        <v>0</v>
      </c>
      <c r="L10" s="25" t="s">
        <v>304</v>
      </c>
      <c r="M10" s="19">
        <f t="shared" si="0"/>
        <v>109400</v>
      </c>
      <c r="N10" s="14">
        <v>0</v>
      </c>
    </row>
    <row r="11" spans="1:14" x14ac:dyDescent="0.45">
      <c r="A11" s="4">
        <v>44204</v>
      </c>
      <c r="B11" s="4">
        <v>44209</v>
      </c>
      <c r="C11" s="5">
        <v>7867</v>
      </c>
      <c r="D11" s="6" t="s">
        <v>40</v>
      </c>
      <c r="E11" s="5" t="s">
        <v>258</v>
      </c>
      <c r="F11" s="5" t="s">
        <v>29</v>
      </c>
      <c r="G11" s="5" t="s">
        <v>30</v>
      </c>
      <c r="H11" s="5">
        <v>100</v>
      </c>
      <c r="I11" s="25">
        <v>895</v>
      </c>
      <c r="J11" s="19">
        <v>0</v>
      </c>
      <c r="K11" s="19">
        <v>0</v>
      </c>
      <c r="L11" s="25" t="s">
        <v>304</v>
      </c>
      <c r="M11" s="19">
        <f t="shared" si="0"/>
        <v>89500</v>
      </c>
      <c r="N11" s="14">
        <v>0</v>
      </c>
    </row>
    <row r="12" spans="1:14" x14ac:dyDescent="0.45">
      <c r="A12" s="4">
        <v>44256</v>
      </c>
      <c r="B12" s="4">
        <v>44258</v>
      </c>
      <c r="C12" s="5">
        <v>3402</v>
      </c>
      <c r="D12" s="6" t="s">
        <v>33</v>
      </c>
      <c r="E12" s="5" t="s">
        <v>258</v>
      </c>
      <c r="F12" s="5" t="s">
        <v>29</v>
      </c>
      <c r="G12" s="5" t="s">
        <v>41</v>
      </c>
      <c r="H12" s="5">
        <v>100</v>
      </c>
      <c r="I12" s="25">
        <v>700</v>
      </c>
      <c r="J12" s="19">
        <v>0</v>
      </c>
      <c r="K12" s="19">
        <v>0</v>
      </c>
      <c r="L12" s="25" t="s">
        <v>305</v>
      </c>
      <c r="M12" s="19">
        <f t="shared" si="0"/>
        <v>70000</v>
      </c>
      <c r="N12" s="15">
        <v>12000</v>
      </c>
    </row>
    <row r="13" spans="1:14" x14ac:dyDescent="0.45">
      <c r="A13" s="4">
        <v>44260</v>
      </c>
      <c r="B13" s="4">
        <v>44264</v>
      </c>
      <c r="C13" s="5">
        <v>1963</v>
      </c>
      <c r="D13" s="6" t="s">
        <v>39</v>
      </c>
      <c r="E13" s="5" t="s">
        <v>258</v>
      </c>
      <c r="F13" s="5" t="s">
        <v>29</v>
      </c>
      <c r="G13" s="5" t="s">
        <v>41</v>
      </c>
      <c r="H13" s="5">
        <v>100</v>
      </c>
      <c r="I13" s="25">
        <v>1307</v>
      </c>
      <c r="J13" s="19">
        <v>0</v>
      </c>
      <c r="K13" s="19">
        <v>0</v>
      </c>
      <c r="L13" s="25" t="s">
        <v>305</v>
      </c>
      <c r="M13" s="19">
        <f t="shared" si="0"/>
        <v>130700</v>
      </c>
      <c r="N13" s="15">
        <v>21300</v>
      </c>
    </row>
    <row r="14" spans="1:14" x14ac:dyDescent="0.45">
      <c r="A14" s="4">
        <v>44266</v>
      </c>
      <c r="B14" s="4">
        <v>44270</v>
      </c>
      <c r="C14" s="5">
        <v>8306</v>
      </c>
      <c r="D14" s="6" t="s">
        <v>37</v>
      </c>
      <c r="E14" s="5" t="s">
        <v>258</v>
      </c>
      <c r="F14" s="5" t="s">
        <v>29</v>
      </c>
      <c r="G14" s="5" t="s">
        <v>41</v>
      </c>
      <c r="H14" s="5">
        <v>100</v>
      </c>
      <c r="I14" s="25">
        <v>593</v>
      </c>
      <c r="J14" s="19">
        <v>0</v>
      </c>
      <c r="K14" s="19">
        <v>0</v>
      </c>
      <c r="L14" s="25" t="s">
        <v>305</v>
      </c>
      <c r="M14" s="19">
        <f t="shared" si="0"/>
        <v>59300</v>
      </c>
      <c r="N14" s="15">
        <v>13900</v>
      </c>
    </row>
    <row r="15" spans="1:14" x14ac:dyDescent="0.45">
      <c r="A15" s="4">
        <v>44270</v>
      </c>
      <c r="B15" s="4">
        <v>44272</v>
      </c>
      <c r="C15" s="5">
        <v>7912</v>
      </c>
      <c r="D15" s="6" t="s">
        <v>36</v>
      </c>
      <c r="E15" s="5" t="s">
        <v>258</v>
      </c>
      <c r="F15" s="5" t="s">
        <v>29</v>
      </c>
      <c r="G15" s="5" t="s">
        <v>41</v>
      </c>
      <c r="H15" s="5">
        <v>100</v>
      </c>
      <c r="I15" s="25">
        <v>2325</v>
      </c>
      <c r="J15" s="19">
        <v>0</v>
      </c>
      <c r="K15" s="19">
        <v>0</v>
      </c>
      <c r="L15" s="25" t="s">
        <v>305</v>
      </c>
      <c r="M15" s="19">
        <f t="shared" si="0"/>
        <v>232500</v>
      </c>
      <c r="N15" s="15">
        <v>43500</v>
      </c>
    </row>
    <row r="16" spans="1:14" x14ac:dyDescent="0.45">
      <c r="A16" s="4">
        <v>44425</v>
      </c>
      <c r="B16" s="4">
        <v>44427</v>
      </c>
      <c r="C16" s="5">
        <v>7867</v>
      </c>
      <c r="D16" s="6" t="s">
        <v>40</v>
      </c>
      <c r="E16" s="5" t="s">
        <v>258</v>
      </c>
      <c r="F16" s="5" t="s">
        <v>29</v>
      </c>
      <c r="G16" s="5" t="s">
        <v>41</v>
      </c>
      <c r="H16" s="5">
        <v>100</v>
      </c>
      <c r="I16" s="25">
        <v>1047</v>
      </c>
      <c r="J16" s="19">
        <v>0</v>
      </c>
      <c r="K16" s="19">
        <v>0</v>
      </c>
      <c r="L16" s="25" t="s">
        <v>305</v>
      </c>
      <c r="M16" s="19">
        <f t="shared" si="0"/>
        <v>104700</v>
      </c>
      <c r="N16" s="15">
        <v>15200</v>
      </c>
    </row>
    <row r="17" spans="1:14" x14ac:dyDescent="0.45">
      <c r="A17" s="4">
        <v>44426</v>
      </c>
      <c r="B17" s="4">
        <v>44428</v>
      </c>
      <c r="C17" s="5">
        <v>1802</v>
      </c>
      <c r="D17" s="6" t="s">
        <v>38</v>
      </c>
      <c r="E17" s="5" t="s">
        <v>258</v>
      </c>
      <c r="F17" s="5" t="s">
        <v>29</v>
      </c>
      <c r="G17" s="5" t="s">
        <v>41</v>
      </c>
      <c r="H17" s="5">
        <v>100</v>
      </c>
      <c r="I17" s="25">
        <v>925</v>
      </c>
      <c r="J17" s="19">
        <v>0</v>
      </c>
      <c r="K17" s="19">
        <v>0</v>
      </c>
      <c r="L17" s="25" t="s">
        <v>305</v>
      </c>
      <c r="M17" s="19">
        <f t="shared" si="0"/>
        <v>92500</v>
      </c>
      <c r="N17" s="15">
        <v>5000</v>
      </c>
    </row>
    <row r="18" spans="1:14" x14ac:dyDescent="0.45">
      <c r="A18" s="4">
        <v>44427</v>
      </c>
      <c r="B18" s="4">
        <v>44431</v>
      </c>
      <c r="C18" s="5">
        <v>3087</v>
      </c>
      <c r="D18" s="6" t="s">
        <v>32</v>
      </c>
      <c r="E18" s="5" t="s">
        <v>258</v>
      </c>
      <c r="F18" s="5" t="s">
        <v>29</v>
      </c>
      <c r="G18" s="5" t="s">
        <v>41</v>
      </c>
      <c r="H18" s="5">
        <v>100</v>
      </c>
      <c r="I18" s="25">
        <v>1635</v>
      </c>
      <c r="J18" s="19">
        <v>0</v>
      </c>
      <c r="K18" s="19">
        <v>0</v>
      </c>
      <c r="L18" s="25" t="s">
        <v>305</v>
      </c>
      <c r="M18" s="19">
        <f t="shared" si="0"/>
        <v>163500</v>
      </c>
      <c r="N18" s="15">
        <v>12840</v>
      </c>
    </row>
    <row r="19" spans="1:14" x14ac:dyDescent="0.45">
      <c r="A19" s="4">
        <v>44501</v>
      </c>
      <c r="B19" s="4">
        <v>44504</v>
      </c>
      <c r="C19" s="5">
        <v>4917</v>
      </c>
      <c r="D19" s="6" t="s">
        <v>27</v>
      </c>
      <c r="E19" s="5" t="s">
        <v>258</v>
      </c>
      <c r="F19" s="5" t="s">
        <v>29</v>
      </c>
      <c r="G19" s="5" t="s">
        <v>41</v>
      </c>
      <c r="H19" s="5">
        <v>100</v>
      </c>
      <c r="I19" s="25">
        <v>1790</v>
      </c>
      <c r="J19" s="19">
        <v>0</v>
      </c>
      <c r="K19" s="19">
        <v>0</v>
      </c>
      <c r="L19" s="25" t="s">
        <v>305</v>
      </c>
      <c r="M19" s="19">
        <f t="shared" si="0"/>
        <v>179000</v>
      </c>
      <c r="N19" s="15">
        <v>8620</v>
      </c>
    </row>
    <row r="20" spans="1:14" x14ac:dyDescent="0.45">
      <c r="A20" s="4">
        <v>44537</v>
      </c>
      <c r="B20" s="4">
        <v>44539</v>
      </c>
      <c r="C20" s="5">
        <v>4502</v>
      </c>
      <c r="D20" s="6" t="s">
        <v>42</v>
      </c>
      <c r="E20" s="5" t="s">
        <v>258</v>
      </c>
      <c r="F20" s="5" t="s">
        <v>29</v>
      </c>
      <c r="G20" s="5" t="s">
        <v>30</v>
      </c>
      <c r="H20" s="5">
        <v>100</v>
      </c>
      <c r="I20" s="25">
        <v>3115</v>
      </c>
      <c r="J20" s="19">
        <v>0</v>
      </c>
      <c r="K20" s="19">
        <v>0</v>
      </c>
      <c r="L20" s="25" t="s">
        <v>304</v>
      </c>
      <c r="M20" s="19">
        <f t="shared" si="0"/>
        <v>311500</v>
      </c>
      <c r="N20" s="14">
        <v>0</v>
      </c>
    </row>
    <row r="21" spans="1:14" x14ac:dyDescent="0.45">
      <c r="A21" s="4">
        <v>44862</v>
      </c>
      <c r="B21" s="4">
        <v>44866</v>
      </c>
      <c r="C21" s="5">
        <v>5201</v>
      </c>
      <c r="D21" s="6" t="s">
        <v>43</v>
      </c>
      <c r="E21" s="5" t="s">
        <v>258</v>
      </c>
      <c r="F21" s="5" t="s">
        <v>29</v>
      </c>
      <c r="G21" s="5" t="s">
        <v>30</v>
      </c>
      <c r="H21" s="5">
        <v>100</v>
      </c>
      <c r="I21" s="25">
        <v>4620</v>
      </c>
      <c r="J21" s="19">
        <v>0</v>
      </c>
      <c r="K21" s="19">
        <v>0</v>
      </c>
      <c r="L21" s="25" t="s">
        <v>304</v>
      </c>
      <c r="M21" s="19">
        <f t="shared" si="0"/>
        <v>462000</v>
      </c>
      <c r="N21" s="14">
        <v>0</v>
      </c>
    </row>
    <row r="22" spans="1:14" x14ac:dyDescent="0.45">
      <c r="A22" s="4">
        <v>44866</v>
      </c>
      <c r="B22" s="4">
        <v>44869</v>
      </c>
      <c r="C22" s="5">
        <v>8766</v>
      </c>
      <c r="D22" s="6" t="s">
        <v>44</v>
      </c>
      <c r="E22" s="5" t="s">
        <v>258</v>
      </c>
      <c r="F22" s="5" t="s">
        <v>29</v>
      </c>
      <c r="G22" s="5" t="s">
        <v>30</v>
      </c>
      <c r="H22" s="5">
        <v>100</v>
      </c>
      <c r="I22" s="25">
        <v>2713.4</v>
      </c>
      <c r="J22" s="19">
        <v>0</v>
      </c>
      <c r="K22" s="19">
        <v>0</v>
      </c>
      <c r="L22" s="25" t="s">
        <v>304</v>
      </c>
      <c r="M22" s="19">
        <f t="shared" si="0"/>
        <v>271340</v>
      </c>
      <c r="N22" s="14">
        <v>0</v>
      </c>
    </row>
    <row r="23" spans="1:14" x14ac:dyDescent="0.45">
      <c r="A23" s="4">
        <v>44918</v>
      </c>
      <c r="B23" s="4">
        <v>44922</v>
      </c>
      <c r="C23" s="5">
        <v>4324</v>
      </c>
      <c r="D23" s="6" t="s">
        <v>45</v>
      </c>
      <c r="E23" s="5" t="s">
        <v>258</v>
      </c>
      <c r="F23" s="5" t="s">
        <v>29</v>
      </c>
      <c r="G23" s="5" t="s">
        <v>30</v>
      </c>
      <c r="H23" s="5">
        <v>100</v>
      </c>
      <c r="I23" s="25">
        <v>4170</v>
      </c>
      <c r="J23" s="19">
        <v>0</v>
      </c>
      <c r="K23" s="19">
        <v>0</v>
      </c>
      <c r="L23" s="25" t="s">
        <v>304</v>
      </c>
      <c r="M23" s="19">
        <f t="shared" si="0"/>
        <v>417000</v>
      </c>
      <c r="N23" s="14">
        <v>0</v>
      </c>
    </row>
    <row r="24" spans="1:14" x14ac:dyDescent="0.45">
      <c r="A24" s="4">
        <v>45020</v>
      </c>
      <c r="B24" s="4">
        <v>45022</v>
      </c>
      <c r="C24" s="5">
        <v>8593</v>
      </c>
      <c r="D24" s="6" t="s">
        <v>189</v>
      </c>
      <c r="E24" s="5" t="s">
        <v>258</v>
      </c>
      <c r="F24" s="5" t="s">
        <v>29</v>
      </c>
      <c r="G24" s="5" t="s">
        <v>30</v>
      </c>
      <c r="H24" s="5">
        <v>100</v>
      </c>
      <c r="I24" s="25">
        <v>688</v>
      </c>
      <c r="J24" s="19">
        <v>0</v>
      </c>
      <c r="K24" s="19">
        <v>0</v>
      </c>
      <c r="L24" s="25" t="s">
        <v>304</v>
      </c>
      <c r="M24" s="19">
        <f t="shared" si="0"/>
        <v>68800</v>
      </c>
      <c r="N24" s="23">
        <v>0</v>
      </c>
    </row>
    <row r="25" spans="1:14" x14ac:dyDescent="0.45">
      <c r="A25" s="4">
        <v>45069</v>
      </c>
      <c r="B25" s="4">
        <v>45071</v>
      </c>
      <c r="C25" s="5">
        <v>8593</v>
      </c>
      <c r="D25" s="6" t="s">
        <v>189</v>
      </c>
      <c r="E25" s="5" t="s">
        <v>258</v>
      </c>
      <c r="F25" s="5" t="s">
        <v>29</v>
      </c>
      <c r="G25" s="5" t="s">
        <v>41</v>
      </c>
      <c r="H25" s="5">
        <v>100</v>
      </c>
      <c r="I25" s="25">
        <v>763.4</v>
      </c>
      <c r="J25" s="19">
        <v>0</v>
      </c>
      <c r="K25" s="19">
        <v>0</v>
      </c>
      <c r="L25" s="25" t="s">
        <v>305</v>
      </c>
      <c r="M25" s="19">
        <f t="shared" si="0"/>
        <v>76340</v>
      </c>
      <c r="N25" s="30">
        <v>7540</v>
      </c>
    </row>
    <row r="26" spans="1:14" x14ac:dyDescent="0.45">
      <c r="A26" s="4">
        <v>45069</v>
      </c>
      <c r="B26" s="4">
        <v>45071</v>
      </c>
      <c r="C26" s="5">
        <v>8766</v>
      </c>
      <c r="D26" s="6" t="s">
        <v>44</v>
      </c>
      <c r="E26" s="5" t="s">
        <v>258</v>
      </c>
      <c r="F26" s="5" t="s">
        <v>29</v>
      </c>
      <c r="G26" s="5" t="s">
        <v>41</v>
      </c>
      <c r="H26" s="5">
        <v>100</v>
      </c>
      <c r="I26" s="25">
        <v>3004.6</v>
      </c>
      <c r="J26" s="19">
        <v>0</v>
      </c>
      <c r="K26" s="19">
        <v>0</v>
      </c>
      <c r="L26" s="25" t="s">
        <v>305</v>
      </c>
      <c r="M26" s="19">
        <f t="shared" si="0"/>
        <v>300460</v>
      </c>
      <c r="N26" s="30">
        <v>29120</v>
      </c>
    </row>
    <row r="27" spans="1:14" x14ac:dyDescent="0.45">
      <c r="A27" s="4">
        <v>45089</v>
      </c>
      <c r="B27" s="4">
        <v>45091</v>
      </c>
      <c r="C27" s="5">
        <v>4324</v>
      </c>
      <c r="D27" s="6" t="s">
        <v>45</v>
      </c>
      <c r="E27" s="5" t="s">
        <v>258</v>
      </c>
      <c r="F27" s="5" t="s">
        <v>29</v>
      </c>
      <c r="G27" s="5" t="s">
        <v>41</v>
      </c>
      <c r="H27" s="5">
        <v>100</v>
      </c>
      <c r="I27" s="25">
        <v>4615</v>
      </c>
      <c r="J27" s="19">
        <v>0</v>
      </c>
      <c r="K27" s="19">
        <v>0</v>
      </c>
      <c r="L27" s="25" t="s">
        <v>305</v>
      </c>
      <c r="M27" s="19">
        <f t="shared" si="0"/>
        <v>461500</v>
      </c>
      <c r="N27" s="30">
        <v>44500</v>
      </c>
    </row>
    <row r="28" spans="1:14" x14ac:dyDescent="0.45">
      <c r="A28" s="4">
        <v>45140</v>
      </c>
      <c r="B28" s="4">
        <v>45142</v>
      </c>
      <c r="C28" s="5">
        <v>5019</v>
      </c>
      <c r="D28" s="9" t="s">
        <v>188</v>
      </c>
      <c r="E28" s="5" t="s">
        <v>258</v>
      </c>
      <c r="F28" s="5" t="s">
        <v>29</v>
      </c>
      <c r="G28" s="5" t="s">
        <v>30</v>
      </c>
      <c r="H28" s="5">
        <v>100</v>
      </c>
      <c r="I28" s="25">
        <v>2988.5</v>
      </c>
      <c r="J28" s="19">
        <v>0</v>
      </c>
      <c r="K28" s="19">
        <v>0</v>
      </c>
      <c r="L28" s="25" t="s">
        <v>304</v>
      </c>
      <c r="M28" s="19">
        <f t="shared" si="0"/>
        <v>298850</v>
      </c>
      <c r="N28" s="23">
        <v>0</v>
      </c>
    </row>
    <row r="29" spans="1:14" x14ac:dyDescent="0.45">
      <c r="A29" s="4">
        <v>45141</v>
      </c>
      <c r="B29" s="4">
        <v>45145</v>
      </c>
      <c r="C29" s="5">
        <v>9104</v>
      </c>
      <c r="D29" s="9" t="s">
        <v>91</v>
      </c>
      <c r="E29" s="5" t="s">
        <v>258</v>
      </c>
      <c r="F29" s="5" t="s">
        <v>29</v>
      </c>
      <c r="G29" s="5" t="s">
        <v>30</v>
      </c>
      <c r="H29" s="5">
        <v>100</v>
      </c>
      <c r="I29" s="25">
        <v>3869.4</v>
      </c>
      <c r="J29" s="19">
        <v>0</v>
      </c>
      <c r="K29" s="19">
        <v>0</v>
      </c>
      <c r="L29" s="25" t="s">
        <v>304</v>
      </c>
      <c r="M29" s="19">
        <f t="shared" si="0"/>
        <v>386940</v>
      </c>
      <c r="N29" s="23">
        <v>0</v>
      </c>
    </row>
    <row r="30" spans="1:14" x14ac:dyDescent="0.45">
      <c r="A30" s="4">
        <v>45175</v>
      </c>
      <c r="B30" s="4">
        <v>45177</v>
      </c>
      <c r="C30" s="5">
        <v>9104</v>
      </c>
      <c r="D30" s="9" t="s">
        <v>91</v>
      </c>
      <c r="E30" s="5" t="s">
        <v>258</v>
      </c>
      <c r="F30" s="5" t="s">
        <v>29</v>
      </c>
      <c r="G30" s="5" t="s">
        <v>41</v>
      </c>
      <c r="H30" s="5">
        <v>100</v>
      </c>
      <c r="I30" s="25">
        <v>4312</v>
      </c>
      <c r="J30" s="19">
        <v>0</v>
      </c>
      <c r="K30" s="19">
        <v>0</v>
      </c>
      <c r="L30" s="25" t="s">
        <v>305</v>
      </c>
      <c r="M30" s="19">
        <f t="shared" si="0"/>
        <v>431200</v>
      </c>
      <c r="N30" s="15">
        <v>44260</v>
      </c>
    </row>
    <row r="31" spans="1:14" x14ac:dyDescent="0.45">
      <c r="A31" s="4">
        <v>45211</v>
      </c>
      <c r="B31" s="4">
        <v>45215</v>
      </c>
      <c r="C31" s="5">
        <v>4324</v>
      </c>
      <c r="D31" s="6" t="s">
        <v>45</v>
      </c>
      <c r="E31" s="5" t="s">
        <v>258</v>
      </c>
      <c r="F31" s="5" t="s">
        <v>29</v>
      </c>
      <c r="G31" s="5" t="s">
        <v>30</v>
      </c>
      <c r="H31" s="5">
        <v>100</v>
      </c>
      <c r="I31" s="25">
        <v>4440</v>
      </c>
      <c r="J31" s="19">
        <v>0</v>
      </c>
      <c r="K31" s="19">
        <v>0</v>
      </c>
      <c r="L31" s="25" t="s">
        <v>304</v>
      </c>
      <c r="M31" s="19">
        <f t="shared" si="0"/>
        <v>444000</v>
      </c>
      <c r="N31" s="30">
        <v>0</v>
      </c>
    </row>
    <row r="32" spans="1:14" x14ac:dyDescent="0.45">
      <c r="A32" s="4">
        <v>45287</v>
      </c>
      <c r="B32" s="4">
        <v>45295</v>
      </c>
      <c r="C32" s="5">
        <v>5019</v>
      </c>
      <c r="D32" s="9" t="s">
        <v>188</v>
      </c>
      <c r="E32" s="5" t="s">
        <v>258</v>
      </c>
      <c r="F32" s="5"/>
      <c r="G32" s="5" t="s">
        <v>233</v>
      </c>
      <c r="H32" s="5">
        <v>400</v>
      </c>
      <c r="I32" s="25">
        <v>597.70000000000005</v>
      </c>
      <c r="J32" s="19">
        <v>0</v>
      </c>
      <c r="K32" s="19">
        <v>0</v>
      </c>
      <c r="L32" s="25" t="s">
        <v>304</v>
      </c>
      <c r="M32" s="19">
        <v>0</v>
      </c>
      <c r="N32" s="23">
        <v>0</v>
      </c>
    </row>
    <row r="33" spans="1:14" x14ac:dyDescent="0.45">
      <c r="A33" s="4">
        <v>45314</v>
      </c>
      <c r="B33" s="4">
        <v>45316</v>
      </c>
      <c r="C33" s="5">
        <v>4502</v>
      </c>
      <c r="D33" s="6" t="s">
        <v>42</v>
      </c>
      <c r="E33" s="5" t="s">
        <v>237</v>
      </c>
      <c r="F33" s="5" t="s">
        <v>29</v>
      </c>
      <c r="G33" s="5" t="s">
        <v>30</v>
      </c>
      <c r="H33" s="5">
        <v>100</v>
      </c>
      <c r="I33" s="25">
        <v>4405</v>
      </c>
      <c r="J33" s="19">
        <v>0</v>
      </c>
      <c r="K33" s="19">
        <v>0</v>
      </c>
      <c r="L33" s="25" t="s">
        <v>304</v>
      </c>
      <c r="M33" s="19">
        <f>H33*I33</f>
        <v>440500</v>
      </c>
      <c r="N33" s="23">
        <v>0</v>
      </c>
    </row>
    <row r="34" spans="1:14" x14ac:dyDescent="0.45">
      <c r="A34" s="4">
        <v>45341</v>
      </c>
      <c r="B34" s="4">
        <v>45343</v>
      </c>
      <c r="C34" s="5">
        <v>9101</v>
      </c>
      <c r="D34" s="6" t="s">
        <v>169</v>
      </c>
      <c r="E34" s="5" t="s">
        <v>237</v>
      </c>
      <c r="F34" s="5" t="s">
        <v>29</v>
      </c>
      <c r="G34" s="5" t="s">
        <v>30</v>
      </c>
      <c r="H34" s="5">
        <v>100</v>
      </c>
      <c r="I34" s="25">
        <v>4775</v>
      </c>
      <c r="J34" s="19">
        <v>0</v>
      </c>
      <c r="K34" s="19">
        <v>0</v>
      </c>
      <c r="L34" s="25" t="s">
        <v>304</v>
      </c>
      <c r="M34" s="19">
        <f>H34*I34</f>
        <v>477500</v>
      </c>
      <c r="N34" s="23">
        <v>0</v>
      </c>
    </row>
    <row r="35" spans="1:14" x14ac:dyDescent="0.45">
      <c r="A35" s="4">
        <v>45341</v>
      </c>
      <c r="B35" s="4">
        <v>45343</v>
      </c>
      <c r="C35" s="5">
        <v>9433</v>
      </c>
      <c r="D35" s="9" t="s">
        <v>71</v>
      </c>
      <c r="E35" s="5" t="s">
        <v>237</v>
      </c>
      <c r="F35" s="5" t="s">
        <v>29</v>
      </c>
      <c r="G35" s="5" t="s">
        <v>30</v>
      </c>
      <c r="H35" s="5">
        <v>100</v>
      </c>
      <c r="I35" s="25">
        <v>4600</v>
      </c>
      <c r="J35" s="19">
        <v>0</v>
      </c>
      <c r="K35" s="19">
        <v>0</v>
      </c>
      <c r="L35" s="25" t="s">
        <v>304</v>
      </c>
      <c r="M35" s="19">
        <f>H35*I35</f>
        <v>460000</v>
      </c>
      <c r="N35" s="23">
        <v>0</v>
      </c>
    </row>
    <row r="36" spans="1:14" x14ac:dyDescent="0.45">
      <c r="A36" s="4">
        <v>45342</v>
      </c>
      <c r="B36" s="4">
        <v>45344</v>
      </c>
      <c r="C36" s="5">
        <v>6526</v>
      </c>
      <c r="D36" s="9" t="s">
        <v>239</v>
      </c>
      <c r="E36" s="5" t="s">
        <v>237</v>
      </c>
      <c r="F36" s="5" t="s">
        <v>29</v>
      </c>
      <c r="G36" s="5" t="s">
        <v>30</v>
      </c>
      <c r="H36" s="5">
        <v>100</v>
      </c>
      <c r="I36" s="25">
        <v>3818</v>
      </c>
      <c r="J36" s="19">
        <v>0</v>
      </c>
      <c r="K36" s="19">
        <v>0</v>
      </c>
      <c r="L36" s="25" t="s">
        <v>304</v>
      </c>
      <c r="M36" s="19">
        <f>H36*I36</f>
        <v>381800</v>
      </c>
      <c r="N36" s="23">
        <v>0</v>
      </c>
    </row>
    <row r="37" spans="1:14" x14ac:dyDescent="0.45">
      <c r="A37" s="4">
        <v>45364</v>
      </c>
      <c r="B37" s="4">
        <v>45366</v>
      </c>
      <c r="C37" s="5">
        <v>9101</v>
      </c>
      <c r="D37" s="6" t="s">
        <v>169</v>
      </c>
      <c r="E37" s="5" t="s">
        <v>237</v>
      </c>
      <c r="F37" s="5" t="s">
        <v>29</v>
      </c>
      <c r="G37" s="5" t="s">
        <v>41</v>
      </c>
      <c r="H37" s="5">
        <v>100</v>
      </c>
      <c r="I37" s="25">
        <v>4282</v>
      </c>
      <c r="J37" s="19">
        <v>0</v>
      </c>
      <c r="K37" s="19">
        <v>0</v>
      </c>
      <c r="L37" s="25" t="s">
        <v>305</v>
      </c>
      <c r="M37" s="19">
        <f>H37*I37</f>
        <v>428200</v>
      </c>
      <c r="N37" s="15">
        <v>-49300</v>
      </c>
    </row>
    <row r="38" spans="1:14" x14ac:dyDescent="0.45">
      <c r="A38" s="4">
        <v>45378</v>
      </c>
      <c r="B38" s="4">
        <v>45383</v>
      </c>
      <c r="C38" s="5">
        <v>7011</v>
      </c>
      <c r="D38" s="6" t="s">
        <v>34</v>
      </c>
      <c r="E38" s="5" t="s">
        <v>258</v>
      </c>
      <c r="F38" s="5"/>
      <c r="G38" s="5" t="s">
        <v>233</v>
      </c>
      <c r="H38" s="5">
        <v>900</v>
      </c>
      <c r="I38" s="25">
        <v>259</v>
      </c>
      <c r="J38" s="19">
        <v>0</v>
      </c>
      <c r="K38" s="19">
        <v>0</v>
      </c>
      <c r="L38" s="25" t="s">
        <v>304</v>
      </c>
      <c r="M38" s="19">
        <v>0</v>
      </c>
      <c r="N38" s="23">
        <v>0</v>
      </c>
    </row>
    <row r="39" spans="1:14" x14ac:dyDescent="0.45">
      <c r="A39" s="4">
        <v>45404</v>
      </c>
      <c r="B39" s="4">
        <v>45406</v>
      </c>
      <c r="C39" s="5">
        <v>6526</v>
      </c>
      <c r="D39" s="9" t="s">
        <v>239</v>
      </c>
      <c r="E39" s="5" t="s">
        <v>237</v>
      </c>
      <c r="F39" s="5" t="s">
        <v>29</v>
      </c>
      <c r="G39" s="5" t="s">
        <v>41</v>
      </c>
      <c r="H39" s="5">
        <v>100</v>
      </c>
      <c r="I39" s="25">
        <v>3954</v>
      </c>
      <c r="J39" s="19">
        <v>0</v>
      </c>
      <c r="K39" s="19">
        <v>0</v>
      </c>
      <c r="L39" s="25" t="s">
        <v>305</v>
      </c>
      <c r="M39" s="19">
        <f>H39*I39</f>
        <v>395400</v>
      </c>
      <c r="N39" s="30">
        <v>13600</v>
      </c>
    </row>
    <row r="40" spans="1:14" x14ac:dyDescent="0.45">
      <c r="A40" s="4">
        <v>45471</v>
      </c>
      <c r="B40" s="4">
        <v>45475</v>
      </c>
      <c r="C40" s="5">
        <v>7984</v>
      </c>
      <c r="D40" s="6" t="s">
        <v>259</v>
      </c>
      <c r="E40" s="5" t="s">
        <v>237</v>
      </c>
      <c r="F40" s="5" t="s">
        <v>29</v>
      </c>
      <c r="G40" s="5" t="s">
        <v>30</v>
      </c>
      <c r="H40" s="5">
        <v>100</v>
      </c>
      <c r="I40" s="25">
        <v>2686</v>
      </c>
      <c r="J40" s="19">
        <v>0</v>
      </c>
      <c r="K40" s="19">
        <v>0</v>
      </c>
      <c r="L40" s="25" t="s">
        <v>304</v>
      </c>
      <c r="M40" s="19">
        <f>H40*I40</f>
        <v>268600</v>
      </c>
      <c r="N40" s="23">
        <v>0</v>
      </c>
    </row>
    <row r="41" spans="1:14" x14ac:dyDescent="0.45">
      <c r="A41" s="4">
        <v>45520</v>
      </c>
      <c r="B41" s="4">
        <v>45524</v>
      </c>
      <c r="C41" s="5">
        <v>9433</v>
      </c>
      <c r="D41" s="9" t="s">
        <v>71</v>
      </c>
      <c r="E41" s="5" t="s">
        <v>237</v>
      </c>
      <c r="F41" s="5" t="s">
        <v>29</v>
      </c>
      <c r="G41" s="5" t="s">
        <v>41</v>
      </c>
      <c r="H41" s="5">
        <v>100</v>
      </c>
      <c r="I41" s="25">
        <v>4620</v>
      </c>
      <c r="J41" s="19">
        <v>0</v>
      </c>
      <c r="K41" s="19">
        <v>0</v>
      </c>
      <c r="L41" s="25" t="s">
        <v>305</v>
      </c>
      <c r="M41" s="19">
        <f>H41*I41</f>
        <v>462000</v>
      </c>
      <c r="N41" s="15">
        <v>2000</v>
      </c>
    </row>
    <row r="42" spans="1:14" x14ac:dyDescent="0.45">
      <c r="A42" s="4">
        <v>45561</v>
      </c>
      <c r="B42" s="4">
        <v>45565</v>
      </c>
      <c r="C42" s="5">
        <v>4324</v>
      </c>
      <c r="D42" s="6" t="s">
        <v>45</v>
      </c>
      <c r="E42" s="5" t="s">
        <v>258</v>
      </c>
      <c r="F42" s="5" t="s">
        <v>29</v>
      </c>
      <c r="G42" s="5" t="s">
        <v>41</v>
      </c>
      <c r="H42" s="5">
        <v>100</v>
      </c>
      <c r="I42" s="25">
        <v>4530</v>
      </c>
      <c r="J42" s="19">
        <v>0</v>
      </c>
      <c r="K42" s="19">
        <v>0</v>
      </c>
      <c r="L42" s="25" t="s">
        <v>305</v>
      </c>
      <c r="M42" s="19">
        <f>H42*I42</f>
        <v>453000</v>
      </c>
      <c r="N42" s="15">
        <v>9000</v>
      </c>
    </row>
    <row r="43" spans="1:14" x14ac:dyDescent="0.45">
      <c r="A43" s="4">
        <v>45645</v>
      </c>
      <c r="B43" s="4">
        <v>45649</v>
      </c>
      <c r="C43" s="5">
        <v>8593</v>
      </c>
      <c r="D43" s="6" t="s">
        <v>189</v>
      </c>
      <c r="E43" s="5" t="s">
        <v>237</v>
      </c>
      <c r="F43" s="5" t="s">
        <v>29</v>
      </c>
      <c r="G43" s="5" t="s">
        <v>30</v>
      </c>
      <c r="H43" s="5">
        <v>300</v>
      </c>
      <c r="I43" s="25">
        <v>1008</v>
      </c>
      <c r="J43" s="19">
        <v>0</v>
      </c>
      <c r="K43" s="19">
        <v>0</v>
      </c>
      <c r="L43" s="25" t="s">
        <v>304</v>
      </c>
      <c r="M43" s="19">
        <f>H43*I43</f>
        <v>302400</v>
      </c>
      <c r="N43" s="23">
        <v>0</v>
      </c>
    </row>
    <row r="44" spans="1:14" x14ac:dyDescent="0.45">
      <c r="A44" s="4">
        <v>45656</v>
      </c>
      <c r="B44" s="4">
        <v>45663</v>
      </c>
      <c r="C44" s="5">
        <v>7011</v>
      </c>
      <c r="D44" s="6" t="s">
        <v>34</v>
      </c>
      <c r="E44" s="5" t="s">
        <v>258</v>
      </c>
      <c r="F44" s="5"/>
      <c r="G44" s="5" t="s">
        <v>289</v>
      </c>
      <c r="H44" s="5">
        <v>500</v>
      </c>
      <c r="I44" s="25">
        <v>259</v>
      </c>
      <c r="J44" s="19">
        <v>0</v>
      </c>
      <c r="K44" s="19">
        <v>0</v>
      </c>
      <c r="L44" s="25" t="s">
        <v>304</v>
      </c>
      <c r="M44" s="19">
        <v>0</v>
      </c>
      <c r="N44" s="15">
        <v>982000</v>
      </c>
    </row>
    <row r="45" spans="1:14" x14ac:dyDescent="0.45">
      <c r="A45" s="4">
        <v>45656</v>
      </c>
      <c r="B45" s="4">
        <v>45663</v>
      </c>
      <c r="C45" s="5">
        <v>7011</v>
      </c>
      <c r="D45" s="6" t="s">
        <v>34</v>
      </c>
      <c r="E45" s="5" t="s">
        <v>258</v>
      </c>
      <c r="F45" s="5"/>
      <c r="G45" s="5" t="s">
        <v>289</v>
      </c>
      <c r="H45" s="5">
        <v>500</v>
      </c>
      <c r="I45" s="25">
        <v>259</v>
      </c>
      <c r="J45" s="19">
        <v>0</v>
      </c>
      <c r="K45" s="19">
        <v>0</v>
      </c>
      <c r="L45" s="25" t="s">
        <v>304</v>
      </c>
      <c r="M45" s="19">
        <v>0</v>
      </c>
      <c r="N45" s="15">
        <v>982000</v>
      </c>
    </row>
    <row r="46" spans="1:14" x14ac:dyDescent="0.45">
      <c r="A46" s="4">
        <v>45656</v>
      </c>
      <c r="B46" s="4">
        <v>45663</v>
      </c>
      <c r="C46" s="5">
        <v>7751</v>
      </c>
      <c r="D46" s="6" t="s">
        <v>35</v>
      </c>
      <c r="E46" s="5" t="s">
        <v>258</v>
      </c>
      <c r="F46" s="5"/>
      <c r="G46" s="5" t="s">
        <v>289</v>
      </c>
      <c r="H46" s="5">
        <v>100</v>
      </c>
      <c r="I46" s="25">
        <v>2009</v>
      </c>
      <c r="J46" s="19">
        <v>0</v>
      </c>
      <c r="K46" s="19">
        <v>0</v>
      </c>
      <c r="L46" s="25" t="s">
        <v>304</v>
      </c>
      <c r="M46" s="19">
        <v>0</v>
      </c>
      <c r="N46" s="15">
        <v>315200</v>
      </c>
    </row>
    <row r="47" spans="1:14" x14ac:dyDescent="0.45">
      <c r="A47" s="4">
        <v>45674</v>
      </c>
      <c r="B47" s="4">
        <v>45678</v>
      </c>
      <c r="C47" s="5">
        <v>4204</v>
      </c>
      <c r="D47" s="9" t="s">
        <v>300</v>
      </c>
      <c r="E47" s="5" t="s">
        <v>237</v>
      </c>
      <c r="F47" s="5" t="s">
        <v>29</v>
      </c>
      <c r="G47" s="5" t="s">
        <v>30</v>
      </c>
      <c r="H47" s="5">
        <v>100</v>
      </c>
      <c r="I47" s="25">
        <v>2457.5</v>
      </c>
      <c r="J47" s="19">
        <v>0</v>
      </c>
      <c r="K47" s="19">
        <v>0</v>
      </c>
      <c r="L47" s="25" t="s">
        <v>304</v>
      </c>
      <c r="M47" s="19">
        <f t="shared" ref="M47:M62" si="1">H47*I47</f>
        <v>245750</v>
      </c>
      <c r="N47" s="23">
        <v>0</v>
      </c>
    </row>
    <row r="48" spans="1:14" x14ac:dyDescent="0.45">
      <c r="A48" s="4">
        <v>45691</v>
      </c>
      <c r="B48" s="4">
        <v>45693</v>
      </c>
      <c r="C48" s="5">
        <v>4204</v>
      </c>
      <c r="D48" s="9" t="s">
        <v>300</v>
      </c>
      <c r="E48" s="5" t="s">
        <v>237</v>
      </c>
      <c r="F48" s="5" t="s">
        <v>29</v>
      </c>
      <c r="G48" s="5" t="s">
        <v>30</v>
      </c>
      <c r="H48" s="5">
        <v>100</v>
      </c>
      <c r="I48" s="25">
        <v>2535</v>
      </c>
      <c r="J48" s="19">
        <v>0</v>
      </c>
      <c r="K48" s="19">
        <v>0</v>
      </c>
      <c r="L48" s="25" t="s">
        <v>177</v>
      </c>
      <c r="M48" s="19">
        <f t="shared" si="1"/>
        <v>253500</v>
      </c>
      <c r="N48" s="23">
        <v>0</v>
      </c>
    </row>
    <row r="49" spans="1:14" x14ac:dyDescent="0.45">
      <c r="A49" s="4">
        <v>45695</v>
      </c>
      <c r="B49" s="4">
        <v>45700</v>
      </c>
      <c r="C49" s="5">
        <v>5444</v>
      </c>
      <c r="D49" s="9" t="s">
        <v>308</v>
      </c>
      <c r="E49" s="5" t="s">
        <v>237</v>
      </c>
      <c r="F49" s="5" t="s">
        <v>29</v>
      </c>
      <c r="G49" s="5" t="s">
        <v>30</v>
      </c>
      <c r="H49" s="5">
        <v>100</v>
      </c>
      <c r="I49" s="25">
        <v>7753</v>
      </c>
      <c r="J49" s="19">
        <v>0</v>
      </c>
      <c r="K49" s="19">
        <v>0</v>
      </c>
      <c r="L49" s="25" t="s">
        <v>177</v>
      </c>
      <c r="M49" s="19">
        <f t="shared" si="1"/>
        <v>775300</v>
      </c>
      <c r="N49" s="23">
        <v>0</v>
      </c>
    </row>
    <row r="50" spans="1:14" x14ac:dyDescent="0.45">
      <c r="A50" s="4">
        <v>45714</v>
      </c>
      <c r="B50" s="4">
        <v>45716</v>
      </c>
      <c r="C50" s="5">
        <v>4204</v>
      </c>
      <c r="D50" s="9" t="s">
        <v>300</v>
      </c>
      <c r="E50" s="5" t="s">
        <v>237</v>
      </c>
      <c r="F50" s="5" t="s">
        <v>29</v>
      </c>
      <c r="G50" s="5" t="s">
        <v>30</v>
      </c>
      <c r="H50" s="5">
        <v>100</v>
      </c>
      <c r="I50" s="25">
        <v>2540</v>
      </c>
      <c r="J50" s="19">
        <v>0</v>
      </c>
      <c r="K50" s="19">
        <v>0</v>
      </c>
      <c r="L50" s="25" t="s">
        <v>324</v>
      </c>
      <c r="M50" s="19">
        <f t="shared" si="1"/>
        <v>254000</v>
      </c>
      <c r="N50" s="23">
        <v>0</v>
      </c>
    </row>
    <row r="51" spans="1:14" x14ac:dyDescent="0.45">
      <c r="A51" s="4">
        <v>45740</v>
      </c>
      <c r="B51" s="4">
        <v>45742</v>
      </c>
      <c r="C51" s="5">
        <v>5444</v>
      </c>
      <c r="D51" s="9" t="s">
        <v>308</v>
      </c>
      <c r="E51" s="5" t="s">
        <v>237</v>
      </c>
      <c r="F51" s="5" t="s">
        <v>29</v>
      </c>
      <c r="G51" s="5" t="s">
        <v>41</v>
      </c>
      <c r="H51" s="5">
        <v>100</v>
      </c>
      <c r="I51" s="25">
        <v>8298</v>
      </c>
      <c r="J51" s="19">
        <v>0</v>
      </c>
      <c r="K51" s="19">
        <v>0</v>
      </c>
      <c r="L51" s="25" t="s">
        <v>213</v>
      </c>
      <c r="M51" s="19">
        <f t="shared" si="1"/>
        <v>829800</v>
      </c>
      <c r="N51" s="15">
        <v>54500</v>
      </c>
    </row>
    <row r="52" spans="1:14" x14ac:dyDescent="0.45">
      <c r="A52" s="4">
        <v>45754</v>
      </c>
      <c r="B52" s="4">
        <v>45756</v>
      </c>
      <c r="C52" s="5">
        <v>4732</v>
      </c>
      <c r="D52" s="6" t="s">
        <v>331</v>
      </c>
      <c r="E52" s="5" t="s">
        <v>237</v>
      </c>
      <c r="F52" s="5" t="s">
        <v>29</v>
      </c>
      <c r="G52" s="5" t="s">
        <v>30</v>
      </c>
      <c r="H52" s="5">
        <v>100</v>
      </c>
      <c r="I52" s="25">
        <v>1320</v>
      </c>
      <c r="J52" s="19">
        <v>0</v>
      </c>
      <c r="K52" s="19">
        <v>0</v>
      </c>
      <c r="L52" s="25" t="s">
        <v>330</v>
      </c>
      <c r="M52" s="19">
        <f t="shared" si="1"/>
        <v>132000</v>
      </c>
      <c r="N52" s="23">
        <v>0</v>
      </c>
    </row>
    <row r="53" spans="1:14" x14ac:dyDescent="0.45">
      <c r="A53" s="4">
        <v>45755</v>
      </c>
      <c r="B53" s="4">
        <v>45757</v>
      </c>
      <c r="C53" s="5">
        <v>4204</v>
      </c>
      <c r="D53" s="9" t="s">
        <v>300</v>
      </c>
      <c r="E53" s="5" t="s">
        <v>237</v>
      </c>
      <c r="F53" s="5" t="s">
        <v>29</v>
      </c>
      <c r="G53" s="5" t="s">
        <v>30</v>
      </c>
      <c r="H53" s="5">
        <v>100</v>
      </c>
      <c r="I53" s="25">
        <v>2352</v>
      </c>
      <c r="J53" s="19">
        <v>0</v>
      </c>
      <c r="K53" s="19">
        <v>0</v>
      </c>
      <c r="L53" s="25" t="s">
        <v>330</v>
      </c>
      <c r="M53" s="19">
        <f t="shared" si="1"/>
        <v>235200</v>
      </c>
      <c r="N53" s="23">
        <v>0</v>
      </c>
    </row>
    <row r="54" spans="1:14" x14ac:dyDescent="0.45">
      <c r="A54" s="4">
        <v>45763</v>
      </c>
      <c r="B54" s="4">
        <v>45769</v>
      </c>
      <c r="C54" s="5">
        <v>4204</v>
      </c>
      <c r="D54" s="9" t="s">
        <v>300</v>
      </c>
      <c r="E54" s="5" t="s">
        <v>237</v>
      </c>
      <c r="F54" s="5" t="s">
        <v>29</v>
      </c>
      <c r="G54" s="5" t="s">
        <v>30</v>
      </c>
      <c r="H54" s="5">
        <v>100</v>
      </c>
      <c r="I54" s="25">
        <v>2444.5</v>
      </c>
      <c r="J54" s="19">
        <v>0</v>
      </c>
      <c r="K54" s="19">
        <v>0</v>
      </c>
      <c r="L54" s="25" t="s">
        <v>335</v>
      </c>
      <c r="M54" s="19">
        <f t="shared" si="1"/>
        <v>244450</v>
      </c>
      <c r="N54" s="23">
        <v>0</v>
      </c>
    </row>
    <row r="55" spans="1:14" x14ac:dyDescent="0.45">
      <c r="A55" s="4">
        <v>45819</v>
      </c>
      <c r="B55" s="4">
        <v>45821</v>
      </c>
      <c r="C55" s="5">
        <v>9433</v>
      </c>
      <c r="D55" s="9" t="s">
        <v>71</v>
      </c>
      <c r="E55" s="5" t="s">
        <v>237</v>
      </c>
      <c r="F55" s="5" t="s">
        <v>29</v>
      </c>
      <c r="G55" s="5" t="s">
        <v>30</v>
      </c>
      <c r="H55" s="5">
        <v>100</v>
      </c>
      <c r="I55" s="25">
        <v>2438</v>
      </c>
      <c r="J55" s="19">
        <v>0</v>
      </c>
      <c r="K55" s="19">
        <v>0</v>
      </c>
      <c r="L55" s="25" t="s">
        <v>345</v>
      </c>
      <c r="M55" s="19">
        <f t="shared" si="1"/>
        <v>243800</v>
      </c>
      <c r="N55" s="23">
        <v>0</v>
      </c>
    </row>
    <row r="56" spans="1:14" x14ac:dyDescent="0.45">
      <c r="A56" s="4">
        <v>45834</v>
      </c>
      <c r="B56" s="4">
        <v>46204</v>
      </c>
      <c r="C56" s="5">
        <v>7984</v>
      </c>
      <c r="D56" s="6" t="s">
        <v>259</v>
      </c>
      <c r="E56" s="5" t="s">
        <v>237</v>
      </c>
      <c r="F56" s="5"/>
      <c r="G56" s="5" t="s">
        <v>233</v>
      </c>
      <c r="H56" s="5">
        <v>300</v>
      </c>
      <c r="I56" s="25">
        <v>671.5</v>
      </c>
      <c r="J56" s="19">
        <v>0</v>
      </c>
      <c r="K56" s="19">
        <v>0</v>
      </c>
      <c r="L56" s="25" t="s">
        <v>356</v>
      </c>
      <c r="M56" s="19">
        <f t="shared" si="1"/>
        <v>201450</v>
      </c>
      <c r="N56" s="23">
        <v>0</v>
      </c>
    </row>
    <row r="57" spans="1:14" x14ac:dyDescent="0.45">
      <c r="A57" s="4">
        <v>45882</v>
      </c>
      <c r="B57" s="4">
        <v>45884</v>
      </c>
      <c r="C57" s="5">
        <v>5201</v>
      </c>
      <c r="D57" s="6" t="s">
        <v>43</v>
      </c>
      <c r="E57" s="5" t="s">
        <v>258</v>
      </c>
      <c r="F57" s="5" t="s">
        <v>29</v>
      </c>
      <c r="G57" s="5" t="s">
        <v>41</v>
      </c>
      <c r="H57" s="5">
        <v>100</v>
      </c>
      <c r="I57" s="25">
        <v>4638</v>
      </c>
      <c r="J57" s="19">
        <v>0</v>
      </c>
      <c r="K57" s="19">
        <v>0</v>
      </c>
      <c r="L57" s="25" t="s">
        <v>213</v>
      </c>
      <c r="M57" s="19">
        <f t="shared" si="1"/>
        <v>463800</v>
      </c>
      <c r="N57" s="15">
        <v>1800</v>
      </c>
    </row>
    <row r="58" spans="1:14" x14ac:dyDescent="0.45">
      <c r="A58" s="4">
        <v>46010</v>
      </c>
      <c r="B58" s="4">
        <v>46014</v>
      </c>
      <c r="C58" s="5">
        <v>4502</v>
      </c>
      <c r="D58" s="6" t="s">
        <v>42</v>
      </c>
      <c r="E58" s="5" t="s">
        <v>258</v>
      </c>
      <c r="F58" s="5" t="s">
        <v>29</v>
      </c>
      <c r="G58" s="5" t="s">
        <v>41</v>
      </c>
      <c r="H58" s="5">
        <v>100</v>
      </c>
      <c r="I58" s="25">
        <v>4622.2</v>
      </c>
      <c r="J58" s="19">
        <v>0</v>
      </c>
      <c r="K58" s="19">
        <v>0</v>
      </c>
      <c r="L58" s="25" t="s">
        <v>213</v>
      </c>
      <c r="M58" s="19">
        <f t="shared" si="1"/>
        <v>462220</v>
      </c>
      <c r="N58" s="15">
        <v>150720</v>
      </c>
    </row>
    <row r="59" spans="1:14" x14ac:dyDescent="0.45">
      <c r="A59" s="4">
        <v>46028</v>
      </c>
      <c r="B59" s="4">
        <v>46030</v>
      </c>
      <c r="C59" s="5">
        <v>1542</v>
      </c>
      <c r="D59" s="9" t="s">
        <v>394</v>
      </c>
      <c r="E59" s="5" t="s">
        <v>257</v>
      </c>
      <c r="F59" s="5" t="s">
        <v>29</v>
      </c>
      <c r="G59" s="5" t="s">
        <v>30</v>
      </c>
      <c r="H59" s="5">
        <v>6</v>
      </c>
      <c r="I59" s="7">
        <v>36430</v>
      </c>
      <c r="J59" s="9">
        <v>0</v>
      </c>
      <c r="K59" s="9">
        <v>0</v>
      </c>
      <c r="L59" s="9" t="s">
        <v>31</v>
      </c>
      <c r="M59" s="19">
        <f t="shared" si="1"/>
        <v>218580</v>
      </c>
      <c r="N59" s="23">
        <v>0</v>
      </c>
    </row>
    <row r="60" spans="1:14" x14ac:dyDescent="0.45">
      <c r="A60" s="4">
        <v>46028</v>
      </c>
      <c r="B60" s="4">
        <v>46030</v>
      </c>
      <c r="C60" s="5">
        <v>1802</v>
      </c>
      <c r="D60" s="9" t="s">
        <v>38</v>
      </c>
      <c r="E60" s="5" t="s">
        <v>257</v>
      </c>
      <c r="F60" s="5" t="s">
        <v>29</v>
      </c>
      <c r="G60" s="5" t="s">
        <v>30</v>
      </c>
      <c r="H60" s="5">
        <v>100</v>
      </c>
      <c r="I60" s="7">
        <v>3339.6</v>
      </c>
      <c r="J60" s="9">
        <v>0</v>
      </c>
      <c r="K60" s="9">
        <v>0</v>
      </c>
      <c r="L60" s="9" t="s">
        <v>31</v>
      </c>
      <c r="M60" s="19">
        <f t="shared" si="1"/>
        <v>333960</v>
      </c>
      <c r="N60" s="23">
        <v>0</v>
      </c>
    </row>
    <row r="61" spans="1:14" x14ac:dyDescent="0.45">
      <c r="A61" s="4">
        <v>46036</v>
      </c>
      <c r="B61" s="4">
        <v>46038</v>
      </c>
      <c r="C61" s="5">
        <v>8593</v>
      </c>
      <c r="D61" s="6" t="s">
        <v>189</v>
      </c>
      <c r="E61" s="5" t="s">
        <v>257</v>
      </c>
      <c r="F61" s="5" t="s">
        <v>29</v>
      </c>
      <c r="G61" s="5" t="s">
        <v>30</v>
      </c>
      <c r="H61" s="5">
        <v>100</v>
      </c>
      <c r="I61" s="25">
        <v>1371</v>
      </c>
      <c r="J61" s="9">
        <v>0</v>
      </c>
      <c r="K61" s="9">
        <v>0</v>
      </c>
      <c r="L61" s="9" t="s">
        <v>31</v>
      </c>
      <c r="M61" s="19">
        <f t="shared" si="1"/>
        <v>137100</v>
      </c>
      <c r="N61" s="23">
        <v>0</v>
      </c>
    </row>
    <row r="62" spans="1:14" x14ac:dyDescent="0.45">
      <c r="A62" s="4">
        <v>46036</v>
      </c>
      <c r="B62" s="4">
        <v>46038</v>
      </c>
      <c r="C62" s="5">
        <v>6506</v>
      </c>
      <c r="D62" s="9" t="s">
        <v>406</v>
      </c>
      <c r="E62" s="5" t="s">
        <v>257</v>
      </c>
      <c r="F62" s="5" t="s">
        <v>29</v>
      </c>
      <c r="G62" s="5" t="s">
        <v>30</v>
      </c>
      <c r="H62" s="5">
        <v>100</v>
      </c>
      <c r="I62" s="25">
        <v>5265</v>
      </c>
      <c r="J62" s="9">
        <v>0</v>
      </c>
      <c r="K62" s="9">
        <v>0</v>
      </c>
      <c r="L62" s="9" t="s">
        <v>31</v>
      </c>
      <c r="M62" s="19">
        <f t="shared" si="1"/>
        <v>526500</v>
      </c>
      <c r="N62" s="23">
        <v>0</v>
      </c>
    </row>
  </sheetData>
  <autoFilter ref="A1:N47" xr:uid="{00000000-0009-0000-0000-000000000000}">
    <sortState xmlns:xlrd2="http://schemas.microsoft.com/office/spreadsheetml/2017/richdata2" ref="A2:N51">
      <sortCondition ref="A1:A47"/>
    </sortState>
  </autoFilter>
  <phoneticPr fontId="18"/>
  <pageMargins left="0.7" right="0.7" top="0.75" bottom="0.75" header="0.3" footer="0.3"/>
  <pageSetup paperSize="9" scale="36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K60"/>
  <sheetViews>
    <sheetView zoomScale="80" zoomScaleNormal="80" workbookViewId="0">
      <pane ySplit="1" topLeftCell="A47" activePane="bottomLeft" state="frozen"/>
      <selection pane="bottomLeft" activeCell="C51" sqref="C51"/>
    </sheetView>
  </sheetViews>
  <sheetFormatPr defaultRowHeight="18" x14ac:dyDescent="0.45"/>
  <cols>
    <col min="1" max="1" width="11.19921875" style="1" bestFit="1" customWidth="1"/>
    <col min="2" max="2" width="9.296875" style="1" bestFit="1" customWidth="1"/>
    <col min="3" max="3" width="14.69921875" style="2" bestFit="1" customWidth="1"/>
    <col min="4" max="4" width="15.09765625" style="2" bestFit="1" customWidth="1"/>
    <col min="5" max="5" width="21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x14ac:dyDescent="0.45">
      <c r="A1" s="16" t="s">
        <v>46</v>
      </c>
      <c r="B1" s="16" t="s">
        <v>47</v>
      </c>
      <c r="C1" s="16" t="s">
        <v>52</v>
      </c>
      <c r="D1" s="16" t="s">
        <v>2</v>
      </c>
      <c r="E1" s="16" t="s">
        <v>166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258</v>
      </c>
      <c r="D2" s="5">
        <v>1802</v>
      </c>
      <c r="E2" s="9" t="s">
        <v>51</v>
      </c>
      <c r="F2" s="9">
        <v>16</v>
      </c>
      <c r="G2" s="5">
        <v>100</v>
      </c>
      <c r="H2" s="19">
        <f t="shared" ref="H2:H34" si="0">F2*G2</f>
        <v>1600</v>
      </c>
      <c r="I2" s="19">
        <v>0</v>
      </c>
      <c r="J2" s="19">
        <f t="shared" ref="J2:J34" si="1">H2-I2</f>
        <v>1600</v>
      </c>
      <c r="K2" s="19">
        <f t="shared" ref="K2:K34" si="2">J2</f>
        <v>1600</v>
      </c>
    </row>
    <row r="3" spans="1:11" x14ac:dyDescent="0.45">
      <c r="A3" s="4">
        <v>44342</v>
      </c>
      <c r="B3" s="5" t="s">
        <v>50</v>
      </c>
      <c r="C3" s="5" t="s">
        <v>258</v>
      </c>
      <c r="D3" s="5">
        <v>3087</v>
      </c>
      <c r="E3" s="9" t="s">
        <v>32</v>
      </c>
      <c r="F3" s="9">
        <v>12</v>
      </c>
      <c r="G3" s="5">
        <v>100</v>
      </c>
      <c r="H3" s="19">
        <f t="shared" si="0"/>
        <v>1200</v>
      </c>
      <c r="I3" s="19">
        <v>0</v>
      </c>
      <c r="J3" s="19">
        <f t="shared" si="1"/>
        <v>1200</v>
      </c>
      <c r="K3" s="19">
        <f t="shared" si="2"/>
        <v>1200</v>
      </c>
    </row>
    <row r="4" spans="1:11" x14ac:dyDescent="0.45">
      <c r="A4" s="4">
        <v>45831</v>
      </c>
      <c r="B4" s="5" t="s">
        <v>50</v>
      </c>
      <c r="C4" s="5" t="s">
        <v>237</v>
      </c>
      <c r="D4" s="5">
        <v>4204</v>
      </c>
      <c r="E4" s="9" t="s">
        <v>300</v>
      </c>
      <c r="F4" s="9">
        <v>42</v>
      </c>
      <c r="G4" s="5">
        <v>300</v>
      </c>
      <c r="H4" s="19">
        <f t="shared" si="0"/>
        <v>12600</v>
      </c>
      <c r="I4" s="19">
        <v>0</v>
      </c>
      <c r="J4" s="19">
        <f t="shared" si="1"/>
        <v>12600</v>
      </c>
      <c r="K4" s="19">
        <f t="shared" si="2"/>
        <v>12600</v>
      </c>
    </row>
    <row r="5" spans="1:11" x14ac:dyDescent="0.45">
      <c r="A5" s="4">
        <v>45001</v>
      </c>
      <c r="B5" s="5" t="s">
        <v>50</v>
      </c>
      <c r="C5" s="5" t="s">
        <v>258</v>
      </c>
      <c r="D5" s="5">
        <v>4324</v>
      </c>
      <c r="E5" s="9" t="s">
        <v>182</v>
      </c>
      <c r="F5" s="9">
        <v>85</v>
      </c>
      <c r="G5" s="5">
        <v>100</v>
      </c>
      <c r="H5" s="19">
        <f t="shared" si="0"/>
        <v>8500</v>
      </c>
      <c r="I5" s="19">
        <v>0</v>
      </c>
      <c r="J5" s="19">
        <f t="shared" si="1"/>
        <v>8500</v>
      </c>
      <c r="K5" s="19">
        <f t="shared" si="2"/>
        <v>8500</v>
      </c>
    </row>
    <row r="6" spans="1:11" x14ac:dyDescent="0.45">
      <c r="A6" s="4">
        <v>45365</v>
      </c>
      <c r="B6" s="5" t="s">
        <v>50</v>
      </c>
      <c r="C6" s="5" t="s">
        <v>258</v>
      </c>
      <c r="D6" s="5">
        <v>4324</v>
      </c>
      <c r="E6" s="9" t="s">
        <v>182</v>
      </c>
      <c r="F6" s="9">
        <v>61</v>
      </c>
      <c r="G6" s="5">
        <v>100</v>
      </c>
      <c r="H6" s="19">
        <f t="shared" si="0"/>
        <v>6100</v>
      </c>
      <c r="I6" s="19">
        <v>0</v>
      </c>
      <c r="J6" s="19">
        <f t="shared" si="1"/>
        <v>6100</v>
      </c>
      <c r="K6" s="19">
        <f t="shared" si="2"/>
        <v>6100</v>
      </c>
    </row>
    <row r="7" spans="1:11" x14ac:dyDescent="0.45">
      <c r="A7" s="4">
        <v>45547</v>
      </c>
      <c r="B7" s="5" t="s">
        <v>50</v>
      </c>
      <c r="C7" s="5" t="s">
        <v>258</v>
      </c>
      <c r="D7" s="5">
        <v>4324</v>
      </c>
      <c r="E7" s="9" t="s">
        <v>182</v>
      </c>
      <c r="F7" s="9">
        <v>69.75</v>
      </c>
      <c r="G7" s="5">
        <v>100</v>
      </c>
      <c r="H7" s="19">
        <f t="shared" si="0"/>
        <v>6975</v>
      </c>
      <c r="I7" s="19">
        <v>0</v>
      </c>
      <c r="J7" s="19">
        <f t="shared" si="1"/>
        <v>6975</v>
      </c>
      <c r="K7" s="19">
        <f t="shared" si="2"/>
        <v>6975</v>
      </c>
    </row>
    <row r="8" spans="1:11" x14ac:dyDescent="0.45">
      <c r="A8" s="4">
        <v>44742</v>
      </c>
      <c r="B8" s="5" t="s">
        <v>50</v>
      </c>
      <c r="C8" s="5" t="s">
        <v>258</v>
      </c>
      <c r="D8" s="5">
        <v>4502</v>
      </c>
      <c r="E8" s="9" t="s">
        <v>42</v>
      </c>
      <c r="F8" s="9">
        <v>90</v>
      </c>
      <c r="G8" s="5">
        <v>100</v>
      </c>
      <c r="H8" s="19">
        <f t="shared" si="0"/>
        <v>9000</v>
      </c>
      <c r="I8" s="19">
        <v>1828</v>
      </c>
      <c r="J8" s="19">
        <f t="shared" si="1"/>
        <v>7172</v>
      </c>
      <c r="K8" s="19">
        <f t="shared" si="2"/>
        <v>7172</v>
      </c>
    </row>
    <row r="9" spans="1:11" x14ac:dyDescent="0.45">
      <c r="A9" s="4">
        <v>44896</v>
      </c>
      <c r="B9" s="5" t="s">
        <v>50</v>
      </c>
      <c r="C9" s="5" t="s">
        <v>258</v>
      </c>
      <c r="D9" s="5">
        <v>4502</v>
      </c>
      <c r="E9" s="9" t="s">
        <v>42</v>
      </c>
      <c r="F9" s="9">
        <v>90</v>
      </c>
      <c r="G9" s="5">
        <v>100</v>
      </c>
      <c r="H9" s="19">
        <f t="shared" si="0"/>
        <v>9000</v>
      </c>
      <c r="I9" s="19">
        <v>0</v>
      </c>
      <c r="J9" s="19">
        <f t="shared" si="1"/>
        <v>9000</v>
      </c>
      <c r="K9" s="19">
        <f t="shared" si="2"/>
        <v>9000</v>
      </c>
    </row>
    <row r="10" spans="1:11" x14ac:dyDescent="0.45">
      <c r="A10" s="4">
        <v>45106</v>
      </c>
      <c r="B10" s="5" t="s">
        <v>50</v>
      </c>
      <c r="C10" s="5" t="s">
        <v>258</v>
      </c>
      <c r="D10" s="5">
        <v>4502</v>
      </c>
      <c r="E10" s="9" t="s">
        <v>42</v>
      </c>
      <c r="F10" s="9">
        <v>90</v>
      </c>
      <c r="G10" s="5">
        <v>100</v>
      </c>
      <c r="H10" s="19">
        <f t="shared" si="0"/>
        <v>9000</v>
      </c>
      <c r="I10" s="19">
        <v>0</v>
      </c>
      <c r="J10" s="19">
        <f t="shared" si="1"/>
        <v>9000</v>
      </c>
      <c r="K10" s="19">
        <f t="shared" si="2"/>
        <v>9000</v>
      </c>
    </row>
    <row r="11" spans="1:11" x14ac:dyDescent="0.45">
      <c r="A11" s="4">
        <v>45261</v>
      </c>
      <c r="B11" s="5" t="s">
        <v>50</v>
      </c>
      <c r="C11" s="5" t="s">
        <v>258</v>
      </c>
      <c r="D11" s="5">
        <v>4502</v>
      </c>
      <c r="E11" s="9" t="s">
        <v>42</v>
      </c>
      <c r="F11" s="9">
        <v>94</v>
      </c>
      <c r="G11" s="5">
        <v>100</v>
      </c>
      <c r="H11" s="19">
        <f t="shared" si="0"/>
        <v>9400</v>
      </c>
      <c r="I11" s="19">
        <v>0</v>
      </c>
      <c r="J11" s="19">
        <f t="shared" si="1"/>
        <v>9400</v>
      </c>
      <c r="K11" s="19">
        <f t="shared" si="2"/>
        <v>9400</v>
      </c>
    </row>
    <row r="12" spans="1:11" x14ac:dyDescent="0.45">
      <c r="A12" s="4">
        <v>45470</v>
      </c>
      <c r="B12" s="5" t="s">
        <v>50</v>
      </c>
      <c r="C12" s="5" t="s">
        <v>257</v>
      </c>
      <c r="D12" s="5">
        <v>4502</v>
      </c>
      <c r="E12" s="9" t="s">
        <v>42</v>
      </c>
      <c r="F12" s="9">
        <v>94</v>
      </c>
      <c r="G12" s="5">
        <v>100</v>
      </c>
      <c r="H12" s="19">
        <f t="shared" si="0"/>
        <v>9400</v>
      </c>
      <c r="I12" s="19">
        <v>0</v>
      </c>
      <c r="J12" s="19">
        <f t="shared" si="1"/>
        <v>9400</v>
      </c>
      <c r="K12" s="19">
        <f t="shared" si="2"/>
        <v>9400</v>
      </c>
    </row>
    <row r="13" spans="1:11" x14ac:dyDescent="0.45">
      <c r="A13" s="4">
        <v>45470</v>
      </c>
      <c r="B13" s="5" t="s">
        <v>50</v>
      </c>
      <c r="C13" s="5" t="s">
        <v>258</v>
      </c>
      <c r="D13" s="5">
        <v>4502</v>
      </c>
      <c r="E13" s="9" t="s">
        <v>42</v>
      </c>
      <c r="F13" s="9">
        <v>94</v>
      </c>
      <c r="G13" s="5">
        <v>100</v>
      </c>
      <c r="H13" s="19">
        <f t="shared" si="0"/>
        <v>9400</v>
      </c>
      <c r="I13" s="19">
        <v>0</v>
      </c>
      <c r="J13" s="19">
        <f t="shared" si="1"/>
        <v>9400</v>
      </c>
      <c r="K13" s="19">
        <f t="shared" si="2"/>
        <v>9400</v>
      </c>
    </row>
    <row r="14" spans="1:11" x14ac:dyDescent="0.45">
      <c r="A14" s="4">
        <v>45628</v>
      </c>
      <c r="B14" s="5" t="s">
        <v>50</v>
      </c>
      <c r="C14" s="5" t="s">
        <v>257</v>
      </c>
      <c r="D14" s="5">
        <v>4502</v>
      </c>
      <c r="E14" s="9" t="s">
        <v>42</v>
      </c>
      <c r="F14" s="9">
        <v>98</v>
      </c>
      <c r="G14" s="5">
        <v>100</v>
      </c>
      <c r="H14" s="19">
        <f t="shared" si="0"/>
        <v>9800</v>
      </c>
      <c r="I14" s="19">
        <v>0</v>
      </c>
      <c r="J14" s="19">
        <f t="shared" si="1"/>
        <v>9800</v>
      </c>
      <c r="K14" s="19">
        <f t="shared" si="2"/>
        <v>9800</v>
      </c>
    </row>
    <row r="15" spans="1:11" x14ac:dyDescent="0.45">
      <c r="A15" s="4">
        <v>45628</v>
      </c>
      <c r="B15" s="5" t="s">
        <v>50</v>
      </c>
      <c r="C15" s="5" t="s">
        <v>258</v>
      </c>
      <c r="D15" s="5">
        <v>4502</v>
      </c>
      <c r="E15" s="9" t="s">
        <v>42</v>
      </c>
      <c r="F15" s="9">
        <v>98</v>
      </c>
      <c r="G15" s="5">
        <v>100</v>
      </c>
      <c r="H15" s="19">
        <f t="shared" si="0"/>
        <v>9800</v>
      </c>
      <c r="I15" s="19">
        <v>0</v>
      </c>
      <c r="J15" s="19">
        <f t="shared" si="1"/>
        <v>9800</v>
      </c>
      <c r="K15" s="19">
        <f t="shared" si="2"/>
        <v>9800</v>
      </c>
    </row>
    <row r="16" spans="1:11" x14ac:dyDescent="0.45">
      <c r="A16" s="4">
        <v>45834</v>
      </c>
      <c r="B16" s="5" t="s">
        <v>50</v>
      </c>
      <c r="C16" s="5" t="s">
        <v>257</v>
      </c>
      <c r="D16" s="5">
        <v>4502</v>
      </c>
      <c r="E16" s="9" t="s">
        <v>42</v>
      </c>
      <c r="F16" s="9">
        <v>98</v>
      </c>
      <c r="G16" s="5">
        <v>100</v>
      </c>
      <c r="H16" s="19">
        <f t="shared" si="0"/>
        <v>9800</v>
      </c>
      <c r="I16" s="19">
        <v>0</v>
      </c>
      <c r="J16" s="19">
        <f t="shared" si="1"/>
        <v>9800</v>
      </c>
      <c r="K16" s="19">
        <f t="shared" si="2"/>
        <v>9800</v>
      </c>
    </row>
    <row r="17" spans="1:11" x14ac:dyDescent="0.45">
      <c r="A17" s="4">
        <v>45834</v>
      </c>
      <c r="B17" s="5" t="s">
        <v>50</v>
      </c>
      <c r="C17" s="5" t="s">
        <v>258</v>
      </c>
      <c r="D17" s="5">
        <v>4502</v>
      </c>
      <c r="E17" s="9" t="s">
        <v>42</v>
      </c>
      <c r="F17" s="9">
        <v>98</v>
      </c>
      <c r="G17" s="5">
        <v>100</v>
      </c>
      <c r="H17" s="19">
        <f t="shared" si="0"/>
        <v>9800</v>
      </c>
      <c r="I17" s="19">
        <v>0</v>
      </c>
      <c r="J17" s="19">
        <f t="shared" si="1"/>
        <v>9800</v>
      </c>
      <c r="K17" s="31">
        <f t="shared" si="2"/>
        <v>9800</v>
      </c>
    </row>
    <row r="18" spans="1:11" x14ac:dyDescent="0.45">
      <c r="A18" s="4">
        <v>44372</v>
      </c>
      <c r="B18" s="5" t="s">
        <v>50</v>
      </c>
      <c r="C18" s="5" t="s">
        <v>258</v>
      </c>
      <c r="D18" s="5">
        <v>4917</v>
      </c>
      <c r="E18" s="9" t="s">
        <v>27</v>
      </c>
      <c r="F18" s="9">
        <v>16</v>
      </c>
      <c r="G18" s="5">
        <v>100</v>
      </c>
      <c r="H18" s="19">
        <f t="shared" si="0"/>
        <v>1600</v>
      </c>
      <c r="I18" s="19">
        <v>0</v>
      </c>
      <c r="J18" s="19">
        <f t="shared" si="1"/>
        <v>1600</v>
      </c>
      <c r="K18" s="31">
        <f t="shared" si="2"/>
        <v>1600</v>
      </c>
    </row>
    <row r="19" spans="1:11" x14ac:dyDescent="0.45">
      <c r="A19" s="4">
        <v>44531</v>
      </c>
      <c r="B19" s="5" t="s">
        <v>50</v>
      </c>
      <c r="C19" s="5" t="s">
        <v>258</v>
      </c>
      <c r="D19" s="5">
        <v>4917</v>
      </c>
      <c r="E19" s="9" t="s">
        <v>27</v>
      </c>
      <c r="F19" s="9">
        <v>18</v>
      </c>
      <c r="G19" s="5">
        <v>100</v>
      </c>
      <c r="H19" s="19">
        <f t="shared" si="0"/>
        <v>1800</v>
      </c>
      <c r="I19" s="19">
        <v>0</v>
      </c>
      <c r="J19" s="19">
        <f t="shared" si="1"/>
        <v>1800</v>
      </c>
      <c r="K19" s="31">
        <f t="shared" si="2"/>
        <v>1800</v>
      </c>
    </row>
    <row r="20" spans="1:11" x14ac:dyDescent="0.45">
      <c r="A20" s="4">
        <v>45267</v>
      </c>
      <c r="B20" s="5" t="s">
        <v>50</v>
      </c>
      <c r="C20" s="5" t="s">
        <v>258</v>
      </c>
      <c r="D20" s="5">
        <v>5019</v>
      </c>
      <c r="E20" s="9" t="s">
        <v>188</v>
      </c>
      <c r="F20" s="9">
        <v>80</v>
      </c>
      <c r="G20" s="5">
        <v>100</v>
      </c>
      <c r="H20" s="19">
        <f t="shared" si="0"/>
        <v>8000</v>
      </c>
      <c r="I20" s="19">
        <v>0</v>
      </c>
      <c r="J20" s="19">
        <f t="shared" si="1"/>
        <v>8000</v>
      </c>
      <c r="K20" s="31">
        <f t="shared" si="2"/>
        <v>8000</v>
      </c>
    </row>
    <row r="21" spans="1:11" x14ac:dyDescent="0.45">
      <c r="A21" s="4">
        <v>45447</v>
      </c>
      <c r="B21" s="5" t="s">
        <v>50</v>
      </c>
      <c r="C21" s="5" t="s">
        <v>258</v>
      </c>
      <c r="D21" s="5">
        <v>5019</v>
      </c>
      <c r="E21" s="9" t="s">
        <v>188</v>
      </c>
      <c r="F21" s="9">
        <v>16</v>
      </c>
      <c r="G21" s="5">
        <v>500</v>
      </c>
      <c r="H21" s="19">
        <f t="shared" si="0"/>
        <v>8000</v>
      </c>
      <c r="I21" s="19">
        <v>0</v>
      </c>
      <c r="J21" s="19">
        <f t="shared" si="1"/>
        <v>8000</v>
      </c>
      <c r="K21" s="19">
        <f t="shared" si="2"/>
        <v>8000</v>
      </c>
    </row>
    <row r="22" spans="1:11" x14ac:dyDescent="0.45">
      <c r="A22" s="4">
        <v>45632</v>
      </c>
      <c r="B22" s="5" t="s">
        <v>50</v>
      </c>
      <c r="C22" s="5" t="s">
        <v>258</v>
      </c>
      <c r="D22" s="5">
        <v>5019</v>
      </c>
      <c r="E22" s="9" t="s">
        <v>188</v>
      </c>
      <c r="F22" s="9">
        <v>18</v>
      </c>
      <c r="G22" s="5">
        <v>500</v>
      </c>
      <c r="H22" s="19">
        <f t="shared" si="0"/>
        <v>9000</v>
      </c>
      <c r="I22" s="19">
        <v>0</v>
      </c>
      <c r="J22" s="19">
        <f t="shared" si="1"/>
        <v>9000</v>
      </c>
      <c r="K22" s="19">
        <f t="shared" si="2"/>
        <v>9000</v>
      </c>
    </row>
    <row r="23" spans="1:11" x14ac:dyDescent="0.45">
      <c r="A23" s="4">
        <v>45812</v>
      </c>
      <c r="B23" s="5" t="s">
        <v>50</v>
      </c>
      <c r="C23" s="5" t="s">
        <v>258</v>
      </c>
      <c r="D23" s="5">
        <v>5019</v>
      </c>
      <c r="E23" s="9" t="s">
        <v>188</v>
      </c>
      <c r="F23" s="9">
        <v>18</v>
      </c>
      <c r="G23" s="5">
        <v>500</v>
      </c>
      <c r="H23" s="19">
        <f t="shared" si="0"/>
        <v>9000</v>
      </c>
      <c r="I23" s="19">
        <v>0</v>
      </c>
      <c r="J23" s="19">
        <f t="shared" si="1"/>
        <v>9000</v>
      </c>
      <c r="K23" s="19">
        <f t="shared" si="2"/>
        <v>9000</v>
      </c>
    </row>
    <row r="24" spans="1:11" x14ac:dyDescent="0.45">
      <c r="A24" s="4">
        <v>45996</v>
      </c>
      <c r="B24" s="5" t="s">
        <v>50</v>
      </c>
      <c r="C24" s="5" t="s">
        <v>258</v>
      </c>
      <c r="D24" s="5">
        <v>5019</v>
      </c>
      <c r="E24" s="9" t="s">
        <v>188</v>
      </c>
      <c r="F24" s="9">
        <v>18</v>
      </c>
      <c r="G24" s="5">
        <v>500</v>
      </c>
      <c r="H24" s="19">
        <f t="shared" si="0"/>
        <v>9000</v>
      </c>
      <c r="I24" s="19">
        <v>0</v>
      </c>
      <c r="J24" s="19">
        <f t="shared" si="1"/>
        <v>9000</v>
      </c>
      <c r="K24" s="19">
        <f t="shared" si="2"/>
        <v>9000</v>
      </c>
    </row>
    <row r="25" spans="1:11" x14ac:dyDescent="0.45">
      <c r="A25" s="4">
        <v>45016</v>
      </c>
      <c r="B25" s="5" t="s">
        <v>50</v>
      </c>
      <c r="C25" s="5" t="s">
        <v>258</v>
      </c>
      <c r="D25" s="5">
        <v>5201</v>
      </c>
      <c r="E25" s="6" t="s">
        <v>43</v>
      </c>
      <c r="F25" s="9">
        <v>105</v>
      </c>
      <c r="G25" s="5">
        <v>100</v>
      </c>
      <c r="H25" s="19">
        <f t="shared" si="0"/>
        <v>10500</v>
      </c>
      <c r="I25" s="19">
        <v>0</v>
      </c>
      <c r="J25" s="19">
        <f t="shared" si="1"/>
        <v>10500</v>
      </c>
      <c r="K25" s="19">
        <f t="shared" si="2"/>
        <v>10500</v>
      </c>
    </row>
    <row r="26" spans="1:11" x14ac:dyDescent="0.45">
      <c r="A26" s="4">
        <v>45177</v>
      </c>
      <c r="B26" s="5" t="s">
        <v>50</v>
      </c>
      <c r="C26" s="5" t="s">
        <v>258</v>
      </c>
      <c r="D26" s="5">
        <v>5201</v>
      </c>
      <c r="E26" s="6" t="s">
        <v>43</v>
      </c>
      <c r="F26" s="9">
        <v>105</v>
      </c>
      <c r="G26" s="5">
        <v>100</v>
      </c>
      <c r="H26" s="19">
        <f t="shared" si="0"/>
        <v>10500</v>
      </c>
      <c r="I26" s="19">
        <v>0</v>
      </c>
      <c r="J26" s="19">
        <f t="shared" si="1"/>
        <v>10500</v>
      </c>
      <c r="K26" s="19">
        <f t="shared" si="2"/>
        <v>10500</v>
      </c>
    </row>
    <row r="27" spans="1:11" x14ac:dyDescent="0.45">
      <c r="A27" s="4">
        <v>45380</v>
      </c>
      <c r="B27" s="5" t="s">
        <v>50</v>
      </c>
      <c r="C27" s="5" t="s">
        <v>258</v>
      </c>
      <c r="D27" s="5">
        <v>5201</v>
      </c>
      <c r="E27" s="6" t="s">
        <v>43</v>
      </c>
      <c r="F27" s="9">
        <v>105</v>
      </c>
      <c r="G27" s="5">
        <v>100</v>
      </c>
      <c r="H27" s="19">
        <f t="shared" si="0"/>
        <v>10500</v>
      </c>
      <c r="I27" s="19">
        <v>0</v>
      </c>
      <c r="J27" s="19">
        <f t="shared" si="1"/>
        <v>10500</v>
      </c>
      <c r="K27" s="19">
        <f t="shared" si="2"/>
        <v>10500</v>
      </c>
    </row>
    <row r="28" spans="1:11" x14ac:dyDescent="0.45">
      <c r="A28" s="4">
        <v>45541</v>
      </c>
      <c r="B28" s="5" t="s">
        <v>50</v>
      </c>
      <c r="C28" s="5" t="s">
        <v>258</v>
      </c>
      <c r="D28" s="5">
        <v>5201</v>
      </c>
      <c r="E28" s="6" t="s">
        <v>43</v>
      </c>
      <c r="F28" s="9">
        <v>105</v>
      </c>
      <c r="G28" s="5">
        <v>100</v>
      </c>
      <c r="H28" s="19">
        <f t="shared" si="0"/>
        <v>10500</v>
      </c>
      <c r="I28" s="19">
        <v>0</v>
      </c>
      <c r="J28" s="19">
        <f t="shared" si="1"/>
        <v>10500</v>
      </c>
      <c r="K28" s="19">
        <f t="shared" si="2"/>
        <v>10500</v>
      </c>
    </row>
    <row r="29" spans="1:11" x14ac:dyDescent="0.45">
      <c r="A29" s="4">
        <v>45747</v>
      </c>
      <c r="B29" s="5" t="s">
        <v>50</v>
      </c>
      <c r="C29" s="5" t="s">
        <v>258</v>
      </c>
      <c r="D29" s="5">
        <v>5201</v>
      </c>
      <c r="E29" s="6" t="s">
        <v>43</v>
      </c>
      <c r="F29" s="23">
        <v>105</v>
      </c>
      <c r="G29" s="5">
        <v>100</v>
      </c>
      <c r="H29" s="19">
        <f t="shared" si="0"/>
        <v>10500</v>
      </c>
      <c r="I29" s="19">
        <v>0</v>
      </c>
      <c r="J29" s="19">
        <f t="shared" si="1"/>
        <v>10500</v>
      </c>
      <c r="K29" s="19">
        <f t="shared" si="2"/>
        <v>10500</v>
      </c>
    </row>
    <row r="30" spans="1:11" x14ac:dyDescent="0.45">
      <c r="A30" s="4">
        <v>45448</v>
      </c>
      <c r="B30" s="5" t="s">
        <v>50</v>
      </c>
      <c r="C30" s="5" t="s">
        <v>257</v>
      </c>
      <c r="D30" s="5">
        <v>6526</v>
      </c>
      <c r="E30" s="9" t="s">
        <v>239</v>
      </c>
      <c r="F30" s="9">
        <v>25</v>
      </c>
      <c r="G30" s="5">
        <v>100</v>
      </c>
      <c r="H30" s="19">
        <f t="shared" si="0"/>
        <v>2500</v>
      </c>
      <c r="I30" s="19">
        <v>0</v>
      </c>
      <c r="J30" s="19">
        <f t="shared" si="1"/>
        <v>2500</v>
      </c>
      <c r="K30" s="19">
        <f t="shared" si="2"/>
        <v>2500</v>
      </c>
    </row>
    <row r="31" spans="1:11" x14ac:dyDescent="0.45">
      <c r="A31" s="4">
        <v>44377</v>
      </c>
      <c r="B31" s="5" t="s">
        <v>50</v>
      </c>
      <c r="C31" s="5" t="s">
        <v>258</v>
      </c>
      <c r="D31" s="5">
        <v>7011</v>
      </c>
      <c r="E31" s="9" t="s">
        <v>34</v>
      </c>
      <c r="F31" s="9">
        <v>75</v>
      </c>
      <c r="G31" s="5">
        <v>100</v>
      </c>
      <c r="H31" s="19">
        <f t="shared" si="0"/>
        <v>7500</v>
      </c>
      <c r="I31" s="19">
        <v>0</v>
      </c>
      <c r="J31" s="19">
        <f t="shared" si="1"/>
        <v>7500</v>
      </c>
      <c r="K31" s="19">
        <f t="shared" si="2"/>
        <v>7500</v>
      </c>
    </row>
    <row r="32" spans="1:11" x14ac:dyDescent="0.45">
      <c r="A32" s="4">
        <v>44533</v>
      </c>
      <c r="B32" s="5" t="s">
        <v>50</v>
      </c>
      <c r="C32" s="5" t="s">
        <v>258</v>
      </c>
      <c r="D32" s="5">
        <v>7011</v>
      </c>
      <c r="E32" s="9" t="s">
        <v>34</v>
      </c>
      <c r="F32" s="9">
        <v>45</v>
      </c>
      <c r="G32" s="5">
        <v>100</v>
      </c>
      <c r="H32" s="19">
        <f t="shared" si="0"/>
        <v>4500</v>
      </c>
      <c r="I32" s="19">
        <v>0</v>
      </c>
      <c r="J32" s="19">
        <f t="shared" si="1"/>
        <v>4500</v>
      </c>
      <c r="K32" s="19">
        <f t="shared" si="2"/>
        <v>4500</v>
      </c>
    </row>
    <row r="33" spans="1:11" x14ac:dyDescent="0.45">
      <c r="A33" s="4">
        <v>44742</v>
      </c>
      <c r="B33" s="5" t="s">
        <v>50</v>
      </c>
      <c r="C33" s="5" t="s">
        <v>258</v>
      </c>
      <c r="D33" s="5">
        <v>7011</v>
      </c>
      <c r="E33" s="9" t="s">
        <v>34</v>
      </c>
      <c r="F33" s="9">
        <v>55</v>
      </c>
      <c r="G33" s="5">
        <v>100</v>
      </c>
      <c r="H33" s="19">
        <f t="shared" si="0"/>
        <v>5500</v>
      </c>
      <c r="I33" s="19">
        <v>1117</v>
      </c>
      <c r="J33" s="19">
        <f t="shared" si="1"/>
        <v>4383</v>
      </c>
      <c r="K33" s="19">
        <f t="shared" si="2"/>
        <v>4383</v>
      </c>
    </row>
    <row r="34" spans="1:11" x14ac:dyDescent="0.45">
      <c r="A34" s="4">
        <v>44900</v>
      </c>
      <c r="B34" s="5" t="s">
        <v>50</v>
      </c>
      <c r="C34" s="5" t="s">
        <v>258</v>
      </c>
      <c r="D34" s="5">
        <v>7011</v>
      </c>
      <c r="E34" s="9" t="s">
        <v>34</v>
      </c>
      <c r="F34" s="9">
        <v>60</v>
      </c>
      <c r="G34" s="5">
        <v>100</v>
      </c>
      <c r="H34" s="19">
        <f t="shared" si="0"/>
        <v>6000</v>
      </c>
      <c r="I34" s="19">
        <v>0</v>
      </c>
      <c r="J34" s="19">
        <f t="shared" si="1"/>
        <v>6000</v>
      </c>
      <c r="K34" s="19">
        <f t="shared" si="2"/>
        <v>6000</v>
      </c>
    </row>
    <row r="35" spans="1:11" x14ac:dyDescent="0.45">
      <c r="A35" s="4">
        <v>45107</v>
      </c>
      <c r="B35" s="5" t="s">
        <v>50</v>
      </c>
      <c r="C35" s="5" t="s">
        <v>258</v>
      </c>
      <c r="D35" s="5">
        <v>7011</v>
      </c>
      <c r="E35" s="9" t="s">
        <v>34</v>
      </c>
      <c r="F35" s="9">
        <v>70</v>
      </c>
      <c r="G35" s="5">
        <v>100</v>
      </c>
      <c r="H35" s="19">
        <f t="shared" ref="H35:H59" si="3">F35*G35</f>
        <v>7000</v>
      </c>
      <c r="I35" s="19">
        <v>0</v>
      </c>
      <c r="J35" s="19">
        <f t="shared" ref="J35:J54" si="4">H35-I35</f>
        <v>7000</v>
      </c>
      <c r="K35" s="19">
        <f t="shared" ref="K35:K54" si="5">J35</f>
        <v>7000</v>
      </c>
    </row>
    <row r="36" spans="1:11" x14ac:dyDescent="0.45">
      <c r="A36" s="4">
        <v>45265</v>
      </c>
      <c r="B36" s="5" t="s">
        <v>50</v>
      </c>
      <c r="C36" s="5" t="s">
        <v>258</v>
      </c>
      <c r="D36" s="5">
        <v>7011</v>
      </c>
      <c r="E36" s="9" t="s">
        <v>34</v>
      </c>
      <c r="F36" s="9">
        <v>80</v>
      </c>
      <c r="G36" s="5">
        <v>100</v>
      </c>
      <c r="H36" s="19">
        <f t="shared" si="3"/>
        <v>8000</v>
      </c>
      <c r="I36" s="19">
        <v>0</v>
      </c>
      <c r="J36" s="19">
        <f t="shared" si="4"/>
        <v>8000</v>
      </c>
      <c r="K36" s="19">
        <f t="shared" si="5"/>
        <v>8000</v>
      </c>
    </row>
    <row r="37" spans="1:11" x14ac:dyDescent="0.45">
      <c r="A37" s="4">
        <v>45471</v>
      </c>
      <c r="B37" s="5" t="s">
        <v>50</v>
      </c>
      <c r="C37" s="5" t="s">
        <v>258</v>
      </c>
      <c r="D37" s="5">
        <v>7011</v>
      </c>
      <c r="E37" s="9" t="s">
        <v>34</v>
      </c>
      <c r="F37" s="9">
        <v>120</v>
      </c>
      <c r="G37" s="5">
        <v>100</v>
      </c>
      <c r="H37" s="19">
        <f t="shared" si="3"/>
        <v>12000</v>
      </c>
      <c r="I37" s="19">
        <v>0</v>
      </c>
      <c r="J37" s="19">
        <f t="shared" si="4"/>
        <v>12000</v>
      </c>
      <c r="K37" s="19">
        <f t="shared" si="5"/>
        <v>12000</v>
      </c>
    </row>
    <row r="38" spans="1:11" x14ac:dyDescent="0.45">
      <c r="A38" s="4">
        <v>45631</v>
      </c>
      <c r="B38" s="5" t="s">
        <v>50</v>
      </c>
      <c r="C38" s="5" t="s">
        <v>258</v>
      </c>
      <c r="D38" s="5">
        <v>7011</v>
      </c>
      <c r="E38" s="9" t="s">
        <v>34</v>
      </c>
      <c r="F38" s="9">
        <v>11</v>
      </c>
      <c r="G38" s="5">
        <v>1000</v>
      </c>
      <c r="H38" s="19">
        <f t="shared" si="3"/>
        <v>11000</v>
      </c>
      <c r="I38" s="19">
        <v>0</v>
      </c>
      <c r="J38" s="19">
        <f t="shared" si="4"/>
        <v>11000</v>
      </c>
      <c r="K38" s="19">
        <f t="shared" si="5"/>
        <v>11000</v>
      </c>
    </row>
    <row r="39" spans="1:11" x14ac:dyDescent="0.45">
      <c r="A39" s="4">
        <v>44286</v>
      </c>
      <c r="B39" s="5" t="s">
        <v>50</v>
      </c>
      <c r="C39" s="5" t="s">
        <v>258</v>
      </c>
      <c r="D39" s="5">
        <v>7751</v>
      </c>
      <c r="E39" s="9" t="s">
        <v>35</v>
      </c>
      <c r="F39" s="9">
        <v>40</v>
      </c>
      <c r="G39" s="5">
        <v>100</v>
      </c>
      <c r="H39" s="19">
        <f t="shared" si="3"/>
        <v>4000</v>
      </c>
      <c r="I39" s="19">
        <v>0</v>
      </c>
      <c r="J39" s="19">
        <f t="shared" si="4"/>
        <v>4000</v>
      </c>
      <c r="K39" s="19">
        <f t="shared" si="5"/>
        <v>4000</v>
      </c>
    </row>
    <row r="40" spans="1:11" x14ac:dyDescent="0.45">
      <c r="A40" s="4">
        <v>44435</v>
      </c>
      <c r="B40" s="5" t="s">
        <v>50</v>
      </c>
      <c r="C40" s="5" t="s">
        <v>258</v>
      </c>
      <c r="D40" s="5">
        <v>7751</v>
      </c>
      <c r="E40" s="9" t="s">
        <v>35</v>
      </c>
      <c r="F40" s="9">
        <v>45</v>
      </c>
      <c r="G40" s="5">
        <v>100</v>
      </c>
      <c r="H40" s="19">
        <f t="shared" si="3"/>
        <v>4500</v>
      </c>
      <c r="I40" s="19">
        <v>0</v>
      </c>
      <c r="J40" s="19">
        <f t="shared" si="4"/>
        <v>4500</v>
      </c>
      <c r="K40" s="19">
        <f t="shared" si="5"/>
        <v>4500</v>
      </c>
    </row>
    <row r="41" spans="1:11" x14ac:dyDescent="0.45">
      <c r="A41" s="4">
        <v>44651</v>
      </c>
      <c r="B41" s="5" t="s">
        <v>50</v>
      </c>
      <c r="C41" s="5" t="s">
        <v>258</v>
      </c>
      <c r="D41" s="5">
        <v>7751</v>
      </c>
      <c r="E41" s="9" t="s">
        <v>35</v>
      </c>
      <c r="F41" s="9">
        <v>55</v>
      </c>
      <c r="G41" s="5">
        <v>100</v>
      </c>
      <c r="H41" s="19">
        <f t="shared" si="3"/>
        <v>5500</v>
      </c>
      <c r="I41" s="19">
        <v>1117</v>
      </c>
      <c r="J41" s="19">
        <f t="shared" si="4"/>
        <v>4383</v>
      </c>
      <c r="K41" s="19">
        <f t="shared" si="5"/>
        <v>4383</v>
      </c>
    </row>
    <row r="42" spans="1:11" x14ac:dyDescent="0.45">
      <c r="A42" s="4">
        <v>44799</v>
      </c>
      <c r="B42" s="5" t="s">
        <v>50</v>
      </c>
      <c r="C42" s="5" t="s">
        <v>258</v>
      </c>
      <c r="D42" s="5">
        <v>7751</v>
      </c>
      <c r="E42" s="9" t="s">
        <v>35</v>
      </c>
      <c r="F42" s="9">
        <v>60</v>
      </c>
      <c r="G42" s="5">
        <v>100</v>
      </c>
      <c r="H42" s="19">
        <f t="shared" si="3"/>
        <v>6000</v>
      </c>
      <c r="I42" s="19">
        <v>1218</v>
      </c>
      <c r="J42" s="19">
        <f t="shared" si="4"/>
        <v>4782</v>
      </c>
      <c r="K42" s="19">
        <f t="shared" si="5"/>
        <v>4782</v>
      </c>
    </row>
    <row r="43" spans="1:11" x14ac:dyDescent="0.45">
      <c r="A43" s="4">
        <v>45016</v>
      </c>
      <c r="B43" s="5" t="s">
        <v>50</v>
      </c>
      <c r="C43" s="5" t="s">
        <v>258</v>
      </c>
      <c r="D43" s="5">
        <v>7751</v>
      </c>
      <c r="E43" s="9" t="s">
        <v>35</v>
      </c>
      <c r="F43" s="9">
        <v>60</v>
      </c>
      <c r="G43" s="5">
        <v>100</v>
      </c>
      <c r="H43" s="19">
        <f t="shared" si="3"/>
        <v>6000</v>
      </c>
      <c r="I43" s="19">
        <v>0</v>
      </c>
      <c r="J43" s="19">
        <f t="shared" si="4"/>
        <v>6000</v>
      </c>
      <c r="K43" s="19">
        <f t="shared" si="5"/>
        <v>6000</v>
      </c>
    </row>
    <row r="44" spans="1:11" x14ac:dyDescent="0.45">
      <c r="A44" s="4">
        <v>45163</v>
      </c>
      <c r="B44" s="5" t="s">
        <v>50</v>
      </c>
      <c r="C44" s="5" t="s">
        <v>258</v>
      </c>
      <c r="D44" s="5">
        <v>7751</v>
      </c>
      <c r="E44" s="9" t="s">
        <v>35</v>
      </c>
      <c r="F44" s="9">
        <v>70</v>
      </c>
      <c r="G44" s="5">
        <v>100</v>
      </c>
      <c r="H44" s="19">
        <f t="shared" si="3"/>
        <v>7000</v>
      </c>
      <c r="I44" s="19">
        <v>0</v>
      </c>
      <c r="J44" s="19">
        <f t="shared" si="4"/>
        <v>7000</v>
      </c>
      <c r="K44" s="19">
        <f t="shared" si="5"/>
        <v>7000</v>
      </c>
    </row>
    <row r="45" spans="1:11" x14ac:dyDescent="0.45">
      <c r="A45" s="4">
        <v>45380</v>
      </c>
      <c r="B45" s="5" t="s">
        <v>50</v>
      </c>
      <c r="C45" s="5" t="s">
        <v>258</v>
      </c>
      <c r="D45" s="5">
        <v>7751</v>
      </c>
      <c r="E45" s="9" t="s">
        <v>35</v>
      </c>
      <c r="F45" s="9">
        <v>70</v>
      </c>
      <c r="G45" s="5">
        <v>100</v>
      </c>
      <c r="H45" s="19">
        <f t="shared" si="3"/>
        <v>7000</v>
      </c>
      <c r="I45" s="19">
        <v>0</v>
      </c>
      <c r="J45" s="19">
        <f t="shared" si="4"/>
        <v>7000</v>
      </c>
      <c r="K45" s="19">
        <f t="shared" si="5"/>
        <v>7000</v>
      </c>
    </row>
    <row r="46" spans="1:11" x14ac:dyDescent="0.45">
      <c r="A46" s="4">
        <v>45530</v>
      </c>
      <c r="B46" s="5" t="s">
        <v>50</v>
      </c>
      <c r="C46" s="5" t="s">
        <v>258</v>
      </c>
      <c r="D46" s="5">
        <v>7751</v>
      </c>
      <c r="E46" s="9" t="s">
        <v>35</v>
      </c>
      <c r="F46" s="9">
        <v>75</v>
      </c>
      <c r="G46" s="5">
        <v>100</v>
      </c>
      <c r="H46" s="19">
        <f t="shared" si="3"/>
        <v>7500</v>
      </c>
      <c r="I46" s="19">
        <v>0</v>
      </c>
      <c r="J46" s="19">
        <f t="shared" si="4"/>
        <v>7500</v>
      </c>
      <c r="K46" s="19">
        <f t="shared" si="5"/>
        <v>7500</v>
      </c>
    </row>
    <row r="47" spans="1:11" x14ac:dyDescent="0.45">
      <c r="A47" s="4">
        <v>44371</v>
      </c>
      <c r="B47" s="5" t="s">
        <v>50</v>
      </c>
      <c r="C47" s="5" t="s">
        <v>258</v>
      </c>
      <c r="D47" s="5">
        <v>7867</v>
      </c>
      <c r="E47" s="9" t="s">
        <v>40</v>
      </c>
      <c r="F47" s="9">
        <v>10</v>
      </c>
      <c r="G47" s="5">
        <v>100</v>
      </c>
      <c r="H47" s="19">
        <f t="shared" si="3"/>
        <v>1000</v>
      </c>
      <c r="I47" s="19">
        <v>0</v>
      </c>
      <c r="J47" s="19">
        <f t="shared" si="4"/>
        <v>1000</v>
      </c>
      <c r="K47" s="19">
        <f t="shared" si="5"/>
        <v>1000</v>
      </c>
    </row>
    <row r="48" spans="1:11" x14ac:dyDescent="0.45">
      <c r="A48" s="4">
        <v>45747</v>
      </c>
      <c r="B48" s="5" t="s">
        <v>50</v>
      </c>
      <c r="C48" s="5" t="s">
        <v>257</v>
      </c>
      <c r="D48" s="5">
        <v>7984</v>
      </c>
      <c r="E48" s="6" t="s">
        <v>259</v>
      </c>
      <c r="F48" s="9">
        <v>39</v>
      </c>
      <c r="G48" s="5">
        <v>100</v>
      </c>
      <c r="H48" s="19">
        <f t="shared" si="3"/>
        <v>3900</v>
      </c>
      <c r="I48" s="19">
        <v>0</v>
      </c>
      <c r="J48" s="19">
        <f t="shared" si="4"/>
        <v>3900</v>
      </c>
      <c r="K48" s="19">
        <f t="shared" si="5"/>
        <v>3900</v>
      </c>
    </row>
    <row r="49" spans="1:11" x14ac:dyDescent="0.45">
      <c r="A49" s="4">
        <v>45817</v>
      </c>
      <c r="B49" s="5" t="s">
        <v>50</v>
      </c>
      <c r="C49" s="5" t="s">
        <v>257</v>
      </c>
      <c r="D49" s="5">
        <v>8593</v>
      </c>
      <c r="E49" s="6" t="s">
        <v>189</v>
      </c>
      <c r="F49" s="9">
        <v>20</v>
      </c>
      <c r="G49" s="5">
        <v>300</v>
      </c>
      <c r="H49" s="19">
        <f t="shared" si="3"/>
        <v>6000</v>
      </c>
      <c r="I49" s="19">
        <v>0</v>
      </c>
      <c r="J49" s="19">
        <f t="shared" si="4"/>
        <v>6000</v>
      </c>
      <c r="K49" s="19">
        <f t="shared" si="5"/>
        <v>6000</v>
      </c>
    </row>
    <row r="50" spans="1:11" x14ac:dyDescent="0.45">
      <c r="A50" s="4">
        <v>45996</v>
      </c>
      <c r="B50" s="5" t="s">
        <v>50</v>
      </c>
      <c r="C50" s="5" t="s">
        <v>257</v>
      </c>
      <c r="D50" s="5">
        <v>8593</v>
      </c>
      <c r="E50" s="6" t="s">
        <v>189</v>
      </c>
      <c r="F50" s="9">
        <v>22</v>
      </c>
      <c r="G50" s="5">
        <v>300</v>
      </c>
      <c r="H50" s="19">
        <f t="shared" si="3"/>
        <v>6600</v>
      </c>
      <c r="I50" s="19">
        <v>0</v>
      </c>
      <c r="J50" s="19">
        <f t="shared" si="4"/>
        <v>6600</v>
      </c>
      <c r="K50" s="19">
        <f t="shared" si="5"/>
        <v>6600</v>
      </c>
    </row>
    <row r="51" spans="1:11" x14ac:dyDescent="0.45">
      <c r="A51" s="4">
        <v>45104</v>
      </c>
      <c r="B51" s="5" t="s">
        <v>50</v>
      </c>
      <c r="C51" s="5" t="s">
        <v>258</v>
      </c>
      <c r="D51" s="5">
        <v>8766</v>
      </c>
      <c r="E51" s="9" t="s">
        <v>44</v>
      </c>
      <c r="F51" s="9">
        <v>50</v>
      </c>
      <c r="G51" s="5">
        <v>100</v>
      </c>
      <c r="H51" s="19">
        <f t="shared" si="3"/>
        <v>5000</v>
      </c>
      <c r="I51" s="19">
        <v>0</v>
      </c>
      <c r="J51" s="19">
        <f t="shared" si="4"/>
        <v>5000</v>
      </c>
      <c r="K51" s="19">
        <f t="shared" si="5"/>
        <v>5000</v>
      </c>
    </row>
    <row r="52" spans="1:11" x14ac:dyDescent="0.45">
      <c r="A52" s="4">
        <v>45463</v>
      </c>
      <c r="B52" s="5" t="s">
        <v>50</v>
      </c>
      <c r="C52" s="5" t="s">
        <v>257</v>
      </c>
      <c r="D52" s="5">
        <v>9433</v>
      </c>
      <c r="E52" s="9" t="s">
        <v>71</v>
      </c>
      <c r="F52" s="9">
        <v>70</v>
      </c>
      <c r="G52" s="5">
        <v>100</v>
      </c>
      <c r="H52" s="19">
        <f t="shared" si="3"/>
        <v>7000</v>
      </c>
      <c r="I52" s="19">
        <v>0</v>
      </c>
      <c r="J52" s="19">
        <f t="shared" si="4"/>
        <v>7000</v>
      </c>
      <c r="K52" s="19">
        <f t="shared" si="5"/>
        <v>7000</v>
      </c>
    </row>
    <row r="53" spans="1:11" x14ac:dyDescent="0.45">
      <c r="A53" s="4">
        <v>45999</v>
      </c>
      <c r="B53" s="5" t="s">
        <v>50</v>
      </c>
      <c r="C53" s="5" t="s">
        <v>257</v>
      </c>
      <c r="D53" s="5">
        <v>9433</v>
      </c>
      <c r="E53" s="9" t="s">
        <v>71</v>
      </c>
      <c r="F53" s="9">
        <v>40</v>
      </c>
      <c r="G53" s="5">
        <v>100</v>
      </c>
      <c r="H53" s="19">
        <f t="shared" si="3"/>
        <v>4000</v>
      </c>
      <c r="I53" s="19">
        <v>0</v>
      </c>
      <c r="J53" s="19">
        <f t="shared" si="4"/>
        <v>4000</v>
      </c>
      <c r="K53" s="19">
        <f t="shared" si="5"/>
        <v>4000</v>
      </c>
    </row>
    <row r="54" spans="1:11" x14ac:dyDescent="0.45">
      <c r="A54" s="4">
        <v>45904</v>
      </c>
      <c r="B54" s="5" t="s">
        <v>50</v>
      </c>
      <c r="C54" s="5" t="s">
        <v>257</v>
      </c>
      <c r="D54" s="5">
        <v>7984</v>
      </c>
      <c r="E54" s="6" t="s">
        <v>259</v>
      </c>
      <c r="F54" s="9">
        <v>46</v>
      </c>
      <c r="G54" s="5">
        <v>100</v>
      </c>
      <c r="H54" s="19">
        <f t="shared" si="3"/>
        <v>4600</v>
      </c>
      <c r="I54" s="19">
        <v>0</v>
      </c>
      <c r="J54" s="19">
        <f t="shared" si="4"/>
        <v>4600</v>
      </c>
      <c r="K54" s="19">
        <f t="shared" si="5"/>
        <v>4600</v>
      </c>
    </row>
    <row r="55" spans="1:11" x14ac:dyDescent="0.45">
      <c r="A55" s="4">
        <v>45908</v>
      </c>
      <c r="B55" s="5" t="s">
        <v>50</v>
      </c>
      <c r="C55" s="5" t="s">
        <v>258</v>
      </c>
      <c r="D55" s="5">
        <v>5201</v>
      </c>
      <c r="E55" s="6" t="s">
        <v>43</v>
      </c>
      <c r="F55" s="9">
        <v>105</v>
      </c>
      <c r="G55" s="5">
        <v>100</v>
      </c>
      <c r="H55" s="19">
        <f t="shared" si="3"/>
        <v>10500</v>
      </c>
      <c r="I55" s="19">
        <v>0</v>
      </c>
      <c r="J55" s="19">
        <f t="shared" ref="J55" si="6">H55-I55</f>
        <v>10500</v>
      </c>
      <c r="K55" s="19">
        <f t="shared" ref="K55" si="7">J55</f>
        <v>10500</v>
      </c>
    </row>
    <row r="56" spans="1:11" x14ac:dyDescent="0.45">
      <c r="A56" s="4">
        <v>45992</v>
      </c>
      <c r="B56" s="5" t="s">
        <v>50</v>
      </c>
      <c r="C56" s="5" t="s">
        <v>258</v>
      </c>
      <c r="D56" s="5">
        <v>4502</v>
      </c>
      <c r="E56" s="9" t="s">
        <v>42</v>
      </c>
      <c r="F56" s="9">
        <v>100</v>
      </c>
      <c r="G56" s="5">
        <v>100</v>
      </c>
      <c r="H56" s="19">
        <f t="shared" si="3"/>
        <v>10000</v>
      </c>
      <c r="I56" s="19">
        <v>0</v>
      </c>
      <c r="J56" s="19">
        <f t="shared" ref="J56:J59" si="8">H56-I56</f>
        <v>10000</v>
      </c>
      <c r="K56" s="19">
        <f t="shared" ref="K56:K59" si="9">J56</f>
        <v>10000</v>
      </c>
    </row>
    <row r="57" spans="1:11" x14ac:dyDescent="0.45">
      <c r="A57" s="4">
        <v>45992</v>
      </c>
      <c r="B57" s="5" t="s">
        <v>50</v>
      </c>
      <c r="C57" s="5" t="s">
        <v>257</v>
      </c>
      <c r="D57" s="5">
        <v>4502</v>
      </c>
      <c r="E57" s="9" t="s">
        <v>42</v>
      </c>
      <c r="F57" s="9">
        <v>100</v>
      </c>
      <c r="G57" s="5">
        <v>100</v>
      </c>
      <c r="H57" s="19">
        <f t="shared" si="3"/>
        <v>10000</v>
      </c>
      <c r="I57" s="19">
        <v>0</v>
      </c>
      <c r="J57" s="19">
        <f t="shared" si="8"/>
        <v>10000</v>
      </c>
      <c r="K57" s="19">
        <f t="shared" si="9"/>
        <v>10000</v>
      </c>
    </row>
    <row r="58" spans="1:11" x14ac:dyDescent="0.45">
      <c r="A58" s="4">
        <v>45992</v>
      </c>
      <c r="B58" s="5" t="s">
        <v>50</v>
      </c>
      <c r="C58" s="5" t="s">
        <v>257</v>
      </c>
      <c r="D58" s="5">
        <v>4204</v>
      </c>
      <c r="E58" s="9" t="s">
        <v>300</v>
      </c>
      <c r="F58" s="9">
        <v>40</v>
      </c>
      <c r="G58" s="5">
        <v>500</v>
      </c>
      <c r="H58" s="19">
        <f t="shared" si="3"/>
        <v>20000</v>
      </c>
      <c r="I58" s="19">
        <v>0</v>
      </c>
      <c r="J58" s="19">
        <f t="shared" si="8"/>
        <v>20000</v>
      </c>
      <c r="K58" s="19">
        <f t="shared" si="9"/>
        <v>20000</v>
      </c>
    </row>
    <row r="59" spans="1:11" x14ac:dyDescent="0.45">
      <c r="A59" s="4">
        <v>46003</v>
      </c>
      <c r="B59" s="5" t="s">
        <v>50</v>
      </c>
      <c r="C59" s="5" t="s">
        <v>257</v>
      </c>
      <c r="D59" s="5">
        <v>4732</v>
      </c>
      <c r="E59" s="6" t="s">
        <v>331</v>
      </c>
      <c r="F59" s="9">
        <v>252</v>
      </c>
      <c r="G59" s="5">
        <v>100</v>
      </c>
      <c r="H59" s="19">
        <f t="shared" si="3"/>
        <v>25200</v>
      </c>
      <c r="I59" s="19">
        <v>0</v>
      </c>
      <c r="J59" s="19">
        <f t="shared" si="8"/>
        <v>25200</v>
      </c>
      <c r="K59" s="19">
        <f t="shared" si="9"/>
        <v>25200</v>
      </c>
    </row>
    <row r="60" spans="1:11" x14ac:dyDescent="0.45">
      <c r="A60" s="4">
        <v>46111</v>
      </c>
      <c r="B60" s="5" t="s">
        <v>50</v>
      </c>
      <c r="C60" s="5" t="s">
        <v>257</v>
      </c>
      <c r="D60" s="5">
        <v>7984</v>
      </c>
      <c r="E60" s="6" t="s">
        <v>259</v>
      </c>
      <c r="F60" s="9">
        <v>13</v>
      </c>
      <c r="G60" s="5">
        <v>400</v>
      </c>
      <c r="H60" s="19">
        <f t="shared" ref="H60" si="10">F60*G60</f>
        <v>5200</v>
      </c>
      <c r="I60" s="19">
        <v>0</v>
      </c>
      <c r="J60" s="19">
        <f t="shared" ref="J60" si="11">H60-I60</f>
        <v>5200</v>
      </c>
      <c r="K60" s="19">
        <f t="shared" ref="K60" si="12">J60</f>
        <v>5200</v>
      </c>
    </row>
  </sheetData>
  <autoFilter ref="A1:K16" xr:uid="{00000000-0009-0000-0000-000001000000}">
    <sortState xmlns:xlrd2="http://schemas.microsoft.com/office/spreadsheetml/2017/richdata2" ref="A2:K50">
      <sortCondition ref="D1:D16"/>
    </sortState>
  </autoFilter>
  <phoneticPr fontId="18"/>
  <pageMargins left="0.7" right="0.7" top="0.75" bottom="0.75" header="0.3" footer="0.3"/>
  <pageSetup paperSize="9" scale="41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79998168889431442"/>
  </sheetPr>
  <dimension ref="A1:O872"/>
  <sheetViews>
    <sheetView tabSelected="1" zoomScale="80" zoomScaleNormal="80" workbookViewId="0">
      <pane xSplit="4" ySplit="1" topLeftCell="E850" activePane="bottomRight" state="frozen"/>
      <selection pane="topRight" activeCell="E1" sqref="E1"/>
      <selection pane="bottomLeft" activeCell="A2" sqref="A2"/>
      <selection pane="bottomRight" activeCell="N871" sqref="N871"/>
    </sheetView>
  </sheetViews>
  <sheetFormatPr defaultRowHeight="18" x14ac:dyDescent="0.45"/>
  <cols>
    <col min="1" max="2" width="12.59765625" style="1" bestFit="1" customWidth="1"/>
    <col min="3" max="3" width="15.09765625" style="2" customWidth="1"/>
    <col min="4" max="4" width="27.3984375" bestFit="1" customWidth="1"/>
    <col min="5" max="6" width="13" style="2" customWidth="1"/>
    <col min="7" max="7" width="13" style="2" bestFit="1" customWidth="1"/>
    <col min="8" max="8" width="15.09765625" style="2" bestFit="1" customWidth="1"/>
    <col min="9" max="9" width="15.09765625" customWidth="1"/>
    <col min="10" max="11" width="17.09765625" customWidth="1"/>
    <col min="12" max="12" width="11.19921875" customWidth="1"/>
    <col min="13" max="13" width="19.19921875" style="42" bestFit="1" customWidth="1"/>
    <col min="14" max="14" width="16.69921875" style="26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43" t="s">
        <v>15</v>
      </c>
      <c r="N1" s="44" t="s">
        <v>165</v>
      </c>
    </row>
    <row r="2" spans="1:14" x14ac:dyDescent="0.45">
      <c r="A2" s="4">
        <v>44216</v>
      </c>
      <c r="B2" s="4">
        <v>44218</v>
      </c>
      <c r="C2" s="5">
        <v>2503</v>
      </c>
      <c r="D2" s="9" t="s">
        <v>101</v>
      </c>
      <c r="E2" s="5" t="s">
        <v>67</v>
      </c>
      <c r="F2" s="5" t="s">
        <v>29</v>
      </c>
      <c r="G2" s="5" t="s">
        <v>30</v>
      </c>
      <c r="H2" s="5">
        <v>100</v>
      </c>
      <c r="I2" s="7">
        <v>2265.9</v>
      </c>
      <c r="J2" s="9">
        <v>0</v>
      </c>
      <c r="K2" s="9">
        <v>0</v>
      </c>
      <c r="L2" s="9" t="s">
        <v>31</v>
      </c>
      <c r="M2" s="15">
        <f t="shared" ref="M2:M33" si="0">IF(G2="買付",H2*I2+SUM(J2:K2),H2*I2-SUM(J2:K2))</f>
        <v>226590</v>
      </c>
      <c r="N2" s="19">
        <v>0</v>
      </c>
    </row>
    <row r="3" spans="1:14" x14ac:dyDescent="0.45">
      <c r="A3" s="4">
        <v>44217</v>
      </c>
      <c r="B3" s="4">
        <v>44221</v>
      </c>
      <c r="C3" s="5">
        <v>2503</v>
      </c>
      <c r="D3" s="9" t="s">
        <v>101</v>
      </c>
      <c r="E3" s="5" t="s">
        <v>67</v>
      </c>
      <c r="F3" s="5" t="s">
        <v>29</v>
      </c>
      <c r="G3" s="5" t="s">
        <v>41</v>
      </c>
      <c r="H3" s="5">
        <v>100</v>
      </c>
      <c r="I3" s="7">
        <v>2306.4</v>
      </c>
      <c r="J3" s="9">
        <v>0</v>
      </c>
      <c r="K3" s="9">
        <v>0</v>
      </c>
      <c r="L3" s="9" t="s">
        <v>90</v>
      </c>
      <c r="M3" s="15">
        <f t="shared" si="0"/>
        <v>230640</v>
      </c>
      <c r="N3" s="19">
        <v>4050</v>
      </c>
    </row>
    <row r="4" spans="1:14" x14ac:dyDescent="0.45">
      <c r="A4" s="4">
        <v>44217</v>
      </c>
      <c r="B4" s="4">
        <v>44221</v>
      </c>
      <c r="C4" s="5">
        <v>3395</v>
      </c>
      <c r="D4" s="9" t="s">
        <v>77</v>
      </c>
      <c r="E4" s="5" t="s">
        <v>67</v>
      </c>
      <c r="F4" s="5" t="s">
        <v>29</v>
      </c>
      <c r="G4" s="5" t="s">
        <v>30</v>
      </c>
      <c r="H4" s="5">
        <v>100</v>
      </c>
      <c r="I4" s="7">
        <v>1490</v>
      </c>
      <c r="J4" s="9">
        <v>0</v>
      </c>
      <c r="K4" s="9">
        <v>0</v>
      </c>
      <c r="L4" s="9" t="s">
        <v>31</v>
      </c>
      <c r="M4" s="15">
        <f t="shared" si="0"/>
        <v>149000</v>
      </c>
      <c r="N4" s="19">
        <v>0</v>
      </c>
    </row>
    <row r="5" spans="1:14" x14ac:dyDescent="0.45">
      <c r="A5" s="4">
        <v>44221</v>
      </c>
      <c r="B5" s="4">
        <v>44223</v>
      </c>
      <c r="C5" s="5">
        <v>4188</v>
      </c>
      <c r="D5" s="9" t="s">
        <v>102</v>
      </c>
      <c r="E5" s="5" t="s">
        <v>67</v>
      </c>
      <c r="F5" s="5" t="s">
        <v>29</v>
      </c>
      <c r="G5" s="5" t="s">
        <v>30</v>
      </c>
      <c r="H5" s="5">
        <v>100</v>
      </c>
      <c r="I5" s="9">
        <v>745.3</v>
      </c>
      <c r="J5" s="9">
        <v>0</v>
      </c>
      <c r="K5" s="9">
        <v>0</v>
      </c>
      <c r="L5" s="9" t="s">
        <v>31</v>
      </c>
      <c r="M5" s="15">
        <f t="shared" si="0"/>
        <v>74530</v>
      </c>
      <c r="N5" s="19">
        <v>0</v>
      </c>
    </row>
    <row r="6" spans="1:14" x14ac:dyDescent="0.45">
      <c r="A6" s="4">
        <v>44221</v>
      </c>
      <c r="B6" s="4">
        <v>44223</v>
      </c>
      <c r="C6" s="5">
        <v>7616</v>
      </c>
      <c r="D6" s="9" t="s">
        <v>103</v>
      </c>
      <c r="E6" s="5" t="s">
        <v>67</v>
      </c>
      <c r="F6" s="5" t="s">
        <v>29</v>
      </c>
      <c r="G6" s="5" t="s">
        <v>30</v>
      </c>
      <c r="H6" s="5">
        <v>100</v>
      </c>
      <c r="I6" s="7">
        <v>1817</v>
      </c>
      <c r="J6" s="9">
        <v>0</v>
      </c>
      <c r="K6" s="9">
        <v>0</v>
      </c>
      <c r="L6" s="9" t="s">
        <v>31</v>
      </c>
      <c r="M6" s="15">
        <f t="shared" si="0"/>
        <v>181700</v>
      </c>
      <c r="N6" s="19">
        <v>0</v>
      </c>
    </row>
    <row r="7" spans="1:14" x14ac:dyDescent="0.45">
      <c r="A7" s="4">
        <v>44224</v>
      </c>
      <c r="B7" s="4">
        <v>44228</v>
      </c>
      <c r="C7" s="5">
        <v>6753</v>
      </c>
      <c r="D7" s="9" t="s">
        <v>104</v>
      </c>
      <c r="E7" s="5" t="s">
        <v>67</v>
      </c>
      <c r="F7" s="5" t="s">
        <v>29</v>
      </c>
      <c r="G7" s="5" t="s">
        <v>30</v>
      </c>
      <c r="H7" s="5">
        <v>100</v>
      </c>
      <c r="I7" s="7">
        <v>2205</v>
      </c>
      <c r="J7" s="9">
        <v>0</v>
      </c>
      <c r="K7" s="9">
        <v>0</v>
      </c>
      <c r="L7" s="9" t="s">
        <v>31</v>
      </c>
      <c r="M7" s="15">
        <f t="shared" si="0"/>
        <v>220500</v>
      </c>
      <c r="N7" s="19">
        <v>0</v>
      </c>
    </row>
    <row r="8" spans="1:14" x14ac:dyDescent="0.45">
      <c r="A8" s="4">
        <v>44224</v>
      </c>
      <c r="B8" s="4">
        <v>44228</v>
      </c>
      <c r="C8" s="5">
        <v>6753</v>
      </c>
      <c r="D8" s="9" t="s">
        <v>104</v>
      </c>
      <c r="E8" s="5" t="s">
        <v>67</v>
      </c>
      <c r="F8" s="5" t="s">
        <v>29</v>
      </c>
      <c r="G8" s="5" t="s">
        <v>41</v>
      </c>
      <c r="H8" s="5">
        <v>100</v>
      </c>
      <c r="I8" s="7">
        <v>2318</v>
      </c>
      <c r="J8" s="9">
        <v>0</v>
      </c>
      <c r="K8" s="9">
        <v>0</v>
      </c>
      <c r="L8" s="9" t="s">
        <v>90</v>
      </c>
      <c r="M8" s="15">
        <f t="shared" si="0"/>
        <v>231800</v>
      </c>
      <c r="N8" s="19">
        <v>11300</v>
      </c>
    </row>
    <row r="9" spans="1:14" x14ac:dyDescent="0.45">
      <c r="A9" s="4">
        <v>44224</v>
      </c>
      <c r="B9" s="4">
        <v>44228</v>
      </c>
      <c r="C9" s="5">
        <v>7616</v>
      </c>
      <c r="D9" s="9" t="s">
        <v>103</v>
      </c>
      <c r="E9" s="5" t="s">
        <v>67</v>
      </c>
      <c r="F9" s="5" t="s">
        <v>29</v>
      </c>
      <c r="G9" s="5" t="s">
        <v>41</v>
      </c>
      <c r="H9" s="5">
        <v>100</v>
      </c>
      <c r="I9" s="7">
        <v>1878</v>
      </c>
      <c r="J9" s="9">
        <v>0</v>
      </c>
      <c r="K9" s="9">
        <v>0</v>
      </c>
      <c r="L9" s="9" t="s">
        <v>90</v>
      </c>
      <c r="M9" s="15">
        <f t="shared" si="0"/>
        <v>187800</v>
      </c>
      <c r="N9" s="19">
        <v>6100</v>
      </c>
    </row>
    <row r="10" spans="1:14" x14ac:dyDescent="0.45">
      <c r="A10" s="4">
        <v>44225</v>
      </c>
      <c r="B10" s="4">
        <v>44229</v>
      </c>
      <c r="C10" s="5">
        <v>6753</v>
      </c>
      <c r="D10" s="9" t="s">
        <v>104</v>
      </c>
      <c r="E10" s="5" t="s">
        <v>67</v>
      </c>
      <c r="F10" s="5" t="s">
        <v>29</v>
      </c>
      <c r="G10" s="5" t="s">
        <v>30</v>
      </c>
      <c r="H10" s="5">
        <v>100</v>
      </c>
      <c r="I10" s="7">
        <v>2368</v>
      </c>
      <c r="J10" s="9">
        <v>0</v>
      </c>
      <c r="K10" s="9">
        <v>0</v>
      </c>
      <c r="L10" s="9" t="s">
        <v>31</v>
      </c>
      <c r="M10" s="15">
        <f t="shared" si="0"/>
        <v>236800</v>
      </c>
      <c r="N10" s="19">
        <v>0</v>
      </c>
    </row>
    <row r="11" spans="1:14" x14ac:dyDescent="0.45">
      <c r="A11" s="4">
        <v>44225</v>
      </c>
      <c r="B11" s="4">
        <v>44229</v>
      </c>
      <c r="C11" s="5">
        <v>7751</v>
      </c>
      <c r="D11" s="9" t="s">
        <v>35</v>
      </c>
      <c r="E11" s="5" t="s">
        <v>67</v>
      </c>
      <c r="F11" s="5" t="s">
        <v>29</v>
      </c>
      <c r="G11" s="5" t="s">
        <v>30</v>
      </c>
      <c r="H11" s="5">
        <v>100</v>
      </c>
      <c r="I11" s="7">
        <v>2399.5</v>
      </c>
      <c r="J11" s="9">
        <v>0</v>
      </c>
      <c r="K11" s="9">
        <v>0</v>
      </c>
      <c r="L11" s="9" t="s">
        <v>31</v>
      </c>
      <c r="M11" s="15">
        <f t="shared" si="0"/>
        <v>239950</v>
      </c>
      <c r="N11" s="19">
        <v>0</v>
      </c>
    </row>
    <row r="12" spans="1:14" x14ac:dyDescent="0.45">
      <c r="A12" s="4">
        <v>44235</v>
      </c>
      <c r="B12" s="4">
        <v>44237</v>
      </c>
      <c r="C12" s="5">
        <v>3395</v>
      </c>
      <c r="D12" s="9" t="s">
        <v>77</v>
      </c>
      <c r="E12" s="5" t="s">
        <v>67</v>
      </c>
      <c r="F12" s="5" t="s">
        <v>29</v>
      </c>
      <c r="G12" s="5" t="s">
        <v>41</v>
      </c>
      <c r="H12" s="5">
        <v>100</v>
      </c>
      <c r="I12" s="7">
        <v>1635</v>
      </c>
      <c r="J12" s="9">
        <v>0</v>
      </c>
      <c r="K12" s="9">
        <v>0</v>
      </c>
      <c r="L12" s="9" t="s">
        <v>90</v>
      </c>
      <c r="M12" s="15">
        <f t="shared" si="0"/>
        <v>163500</v>
      </c>
      <c r="N12" s="19">
        <v>14500</v>
      </c>
    </row>
    <row r="13" spans="1:14" x14ac:dyDescent="0.45">
      <c r="A13" s="4">
        <v>44236</v>
      </c>
      <c r="B13" s="4">
        <v>44239</v>
      </c>
      <c r="C13" s="5">
        <v>3405</v>
      </c>
      <c r="D13" s="9" t="s">
        <v>105</v>
      </c>
      <c r="E13" s="5" t="s">
        <v>67</v>
      </c>
      <c r="F13" s="5" t="s">
        <v>29</v>
      </c>
      <c r="G13" s="5" t="s">
        <v>30</v>
      </c>
      <c r="H13" s="5">
        <v>100</v>
      </c>
      <c r="I13" s="7">
        <v>1219</v>
      </c>
      <c r="J13" s="9">
        <v>0</v>
      </c>
      <c r="K13" s="9">
        <v>0</v>
      </c>
      <c r="L13" s="9" t="s">
        <v>31</v>
      </c>
      <c r="M13" s="15">
        <f t="shared" si="0"/>
        <v>121900</v>
      </c>
      <c r="N13" s="19">
        <v>0</v>
      </c>
    </row>
    <row r="14" spans="1:14" x14ac:dyDescent="0.45">
      <c r="A14" s="4">
        <v>44236</v>
      </c>
      <c r="B14" s="4">
        <v>44239</v>
      </c>
      <c r="C14" s="5">
        <v>4188</v>
      </c>
      <c r="D14" s="9" t="s">
        <v>102</v>
      </c>
      <c r="E14" s="5" t="s">
        <v>67</v>
      </c>
      <c r="F14" s="5" t="s">
        <v>29</v>
      </c>
      <c r="G14" s="5" t="s">
        <v>41</v>
      </c>
      <c r="H14" s="5">
        <v>100</v>
      </c>
      <c r="I14" s="9">
        <v>748.9</v>
      </c>
      <c r="J14" s="9">
        <v>0</v>
      </c>
      <c r="K14" s="9">
        <v>0</v>
      </c>
      <c r="L14" s="9" t="s">
        <v>90</v>
      </c>
      <c r="M14" s="15">
        <f t="shared" si="0"/>
        <v>74890</v>
      </c>
      <c r="N14" s="19">
        <v>360</v>
      </c>
    </row>
    <row r="15" spans="1:14" x14ac:dyDescent="0.45">
      <c r="A15" s="4">
        <v>44236</v>
      </c>
      <c r="B15" s="4">
        <v>44239</v>
      </c>
      <c r="C15" s="5">
        <v>5020</v>
      </c>
      <c r="D15" s="9" t="s">
        <v>106</v>
      </c>
      <c r="E15" s="5" t="s">
        <v>67</v>
      </c>
      <c r="F15" s="5" t="s">
        <v>29</v>
      </c>
      <c r="G15" s="5" t="s">
        <v>30</v>
      </c>
      <c r="H15" s="5">
        <v>100</v>
      </c>
      <c r="I15" s="9">
        <v>449.9</v>
      </c>
      <c r="J15" s="9">
        <v>0</v>
      </c>
      <c r="K15" s="9">
        <v>0</v>
      </c>
      <c r="L15" s="9" t="s">
        <v>31</v>
      </c>
      <c r="M15" s="15">
        <f t="shared" si="0"/>
        <v>44990</v>
      </c>
      <c r="N15" s="19">
        <v>0</v>
      </c>
    </row>
    <row r="16" spans="1:14" x14ac:dyDescent="0.45">
      <c r="A16" s="4">
        <v>44237</v>
      </c>
      <c r="B16" s="4">
        <v>44242</v>
      </c>
      <c r="C16" s="5">
        <v>3405</v>
      </c>
      <c r="D16" s="9" t="s">
        <v>105</v>
      </c>
      <c r="E16" s="5" t="s">
        <v>67</v>
      </c>
      <c r="F16" s="5" t="s">
        <v>29</v>
      </c>
      <c r="G16" s="5" t="s">
        <v>41</v>
      </c>
      <c r="H16" s="5">
        <v>100</v>
      </c>
      <c r="I16" s="7">
        <v>1225.4000000000001</v>
      </c>
      <c r="J16" s="9">
        <v>0</v>
      </c>
      <c r="K16" s="9">
        <v>0</v>
      </c>
      <c r="L16" s="9" t="s">
        <v>90</v>
      </c>
      <c r="M16" s="15">
        <f t="shared" si="0"/>
        <v>122540.00000000001</v>
      </c>
      <c r="N16" s="19">
        <v>640</v>
      </c>
    </row>
    <row r="17" spans="1:14" x14ac:dyDescent="0.45">
      <c r="A17" s="4">
        <v>44237</v>
      </c>
      <c r="B17" s="4">
        <v>44242</v>
      </c>
      <c r="C17" s="5">
        <v>5020</v>
      </c>
      <c r="D17" s="9" t="s">
        <v>106</v>
      </c>
      <c r="E17" s="5" t="s">
        <v>67</v>
      </c>
      <c r="F17" s="5" t="s">
        <v>29</v>
      </c>
      <c r="G17" s="5" t="s">
        <v>41</v>
      </c>
      <c r="H17" s="5">
        <v>100</v>
      </c>
      <c r="I17" s="9">
        <v>450</v>
      </c>
      <c r="J17" s="9">
        <v>0</v>
      </c>
      <c r="K17" s="9">
        <v>0</v>
      </c>
      <c r="L17" s="9" t="s">
        <v>90</v>
      </c>
      <c r="M17" s="15">
        <f t="shared" si="0"/>
        <v>45000</v>
      </c>
      <c r="N17" s="19">
        <v>10</v>
      </c>
    </row>
    <row r="18" spans="1:14" x14ac:dyDescent="0.45">
      <c r="A18" s="4">
        <v>44239</v>
      </c>
      <c r="B18" s="4">
        <v>44243</v>
      </c>
      <c r="C18" s="5">
        <v>2914</v>
      </c>
      <c r="D18" s="9" t="s">
        <v>107</v>
      </c>
      <c r="E18" s="5" t="s">
        <v>67</v>
      </c>
      <c r="F18" s="5" t="s">
        <v>29</v>
      </c>
      <c r="G18" s="5" t="s">
        <v>30</v>
      </c>
      <c r="H18" s="5">
        <v>100</v>
      </c>
      <c r="I18" s="7">
        <v>1993</v>
      </c>
      <c r="J18" s="9">
        <v>0</v>
      </c>
      <c r="K18" s="9">
        <v>0</v>
      </c>
      <c r="L18" s="9" t="s">
        <v>31</v>
      </c>
      <c r="M18" s="15">
        <f t="shared" si="0"/>
        <v>199300</v>
      </c>
      <c r="N18" s="19">
        <v>0</v>
      </c>
    </row>
    <row r="19" spans="1:14" x14ac:dyDescent="0.45">
      <c r="A19" s="4">
        <v>44256</v>
      </c>
      <c r="B19" s="4">
        <v>44258</v>
      </c>
      <c r="C19" s="5">
        <v>6753</v>
      </c>
      <c r="D19" s="9" t="s">
        <v>104</v>
      </c>
      <c r="E19" s="5" t="s">
        <v>67</v>
      </c>
      <c r="F19" s="5" t="s">
        <v>29</v>
      </c>
      <c r="G19" s="5" t="s">
        <v>41</v>
      </c>
      <c r="H19" s="5">
        <v>100</v>
      </c>
      <c r="I19" s="7">
        <v>1933</v>
      </c>
      <c r="J19" s="9">
        <v>0</v>
      </c>
      <c r="K19" s="9">
        <v>0</v>
      </c>
      <c r="L19" s="9" t="s">
        <v>90</v>
      </c>
      <c r="M19" s="15">
        <f t="shared" si="0"/>
        <v>193300</v>
      </c>
      <c r="N19" s="19">
        <v>-43500</v>
      </c>
    </row>
    <row r="20" spans="1:14" x14ac:dyDescent="0.45">
      <c r="A20" s="4">
        <v>44256</v>
      </c>
      <c r="B20" s="4">
        <v>44258</v>
      </c>
      <c r="C20" s="5">
        <v>7453</v>
      </c>
      <c r="D20" s="9" t="s">
        <v>108</v>
      </c>
      <c r="E20" s="5" t="s">
        <v>67</v>
      </c>
      <c r="F20" s="5" t="s">
        <v>29</v>
      </c>
      <c r="G20" s="5" t="s">
        <v>30</v>
      </c>
      <c r="H20" s="5">
        <v>100</v>
      </c>
      <c r="I20" s="7">
        <v>2430</v>
      </c>
      <c r="J20" s="9">
        <v>0</v>
      </c>
      <c r="K20" s="9">
        <v>0</v>
      </c>
      <c r="L20" s="9" t="s">
        <v>31</v>
      </c>
      <c r="M20" s="15">
        <f t="shared" si="0"/>
        <v>243000</v>
      </c>
      <c r="N20" s="19">
        <v>0</v>
      </c>
    </row>
    <row r="21" spans="1:14" x14ac:dyDescent="0.45">
      <c r="A21" s="4">
        <v>44256</v>
      </c>
      <c r="B21" s="4">
        <v>44258</v>
      </c>
      <c r="C21" s="5">
        <v>7453</v>
      </c>
      <c r="D21" s="9" t="s">
        <v>108</v>
      </c>
      <c r="E21" s="5" t="s">
        <v>67</v>
      </c>
      <c r="F21" s="5" t="s">
        <v>29</v>
      </c>
      <c r="G21" s="5" t="s">
        <v>41</v>
      </c>
      <c r="H21" s="5">
        <v>100</v>
      </c>
      <c r="I21" s="7">
        <v>2442</v>
      </c>
      <c r="J21" s="9">
        <v>0</v>
      </c>
      <c r="K21" s="9">
        <v>0</v>
      </c>
      <c r="L21" s="9" t="s">
        <v>90</v>
      </c>
      <c r="M21" s="15">
        <f t="shared" si="0"/>
        <v>244200</v>
      </c>
      <c r="N21" s="19">
        <v>1200</v>
      </c>
    </row>
    <row r="22" spans="1:14" x14ac:dyDescent="0.45">
      <c r="A22" s="4">
        <v>44256</v>
      </c>
      <c r="B22" s="4">
        <v>44258</v>
      </c>
      <c r="C22" s="5">
        <v>7752</v>
      </c>
      <c r="D22" s="9" t="s">
        <v>109</v>
      </c>
      <c r="E22" s="5" t="s">
        <v>67</v>
      </c>
      <c r="F22" s="5" t="s">
        <v>29</v>
      </c>
      <c r="G22" s="5" t="s">
        <v>30</v>
      </c>
      <c r="H22" s="5">
        <v>100</v>
      </c>
      <c r="I22" s="9">
        <v>933</v>
      </c>
      <c r="J22" s="9">
        <v>0</v>
      </c>
      <c r="K22" s="9">
        <v>0</v>
      </c>
      <c r="L22" s="9" t="s">
        <v>31</v>
      </c>
      <c r="M22" s="15">
        <f t="shared" si="0"/>
        <v>93300</v>
      </c>
      <c r="N22" s="19">
        <v>0</v>
      </c>
    </row>
    <row r="23" spans="1:14" x14ac:dyDescent="0.45">
      <c r="A23" s="4">
        <v>44256</v>
      </c>
      <c r="B23" s="4">
        <v>44258</v>
      </c>
      <c r="C23" s="5">
        <v>7752</v>
      </c>
      <c r="D23" s="9" t="s">
        <v>109</v>
      </c>
      <c r="E23" s="5" t="s">
        <v>67</v>
      </c>
      <c r="F23" s="5" t="s">
        <v>29</v>
      </c>
      <c r="G23" s="5" t="s">
        <v>41</v>
      </c>
      <c r="H23" s="5">
        <v>100</v>
      </c>
      <c r="I23" s="9">
        <v>941</v>
      </c>
      <c r="J23" s="9">
        <v>0</v>
      </c>
      <c r="K23" s="9">
        <v>0</v>
      </c>
      <c r="L23" s="9" t="s">
        <v>90</v>
      </c>
      <c r="M23" s="15">
        <f t="shared" si="0"/>
        <v>94100</v>
      </c>
      <c r="N23" s="19">
        <v>800</v>
      </c>
    </row>
    <row r="24" spans="1:14" x14ac:dyDescent="0.45">
      <c r="A24" s="4">
        <v>44257</v>
      </c>
      <c r="B24" s="4">
        <v>44259</v>
      </c>
      <c r="C24" s="5">
        <v>2201</v>
      </c>
      <c r="D24" s="9" t="s">
        <v>76</v>
      </c>
      <c r="E24" s="5" t="s">
        <v>67</v>
      </c>
      <c r="F24" s="5" t="s">
        <v>29</v>
      </c>
      <c r="G24" s="5" t="s">
        <v>30</v>
      </c>
      <c r="H24" s="5">
        <v>100</v>
      </c>
      <c r="I24" s="7">
        <v>3865</v>
      </c>
      <c r="J24" s="9">
        <v>0</v>
      </c>
      <c r="K24" s="9">
        <v>0</v>
      </c>
      <c r="L24" s="9" t="s">
        <v>31</v>
      </c>
      <c r="M24" s="15">
        <f t="shared" si="0"/>
        <v>386500</v>
      </c>
      <c r="N24" s="19">
        <v>0</v>
      </c>
    </row>
    <row r="25" spans="1:14" x14ac:dyDescent="0.45">
      <c r="A25" s="4">
        <v>44257</v>
      </c>
      <c r="B25" s="4">
        <v>44259</v>
      </c>
      <c r="C25" s="5">
        <v>3395</v>
      </c>
      <c r="D25" s="9" t="s">
        <v>77</v>
      </c>
      <c r="E25" s="5" t="s">
        <v>67</v>
      </c>
      <c r="F25" s="5" t="s">
        <v>29</v>
      </c>
      <c r="G25" s="5" t="s">
        <v>30</v>
      </c>
      <c r="H25" s="5">
        <v>100</v>
      </c>
      <c r="I25" s="7">
        <v>1670</v>
      </c>
      <c r="J25" s="9">
        <v>0</v>
      </c>
      <c r="K25" s="9">
        <v>0</v>
      </c>
      <c r="L25" s="9" t="s">
        <v>31</v>
      </c>
      <c r="M25" s="15">
        <f t="shared" si="0"/>
        <v>167000</v>
      </c>
      <c r="N25" s="19">
        <v>0</v>
      </c>
    </row>
    <row r="26" spans="1:14" x14ac:dyDescent="0.45">
      <c r="A26" s="4">
        <v>44257</v>
      </c>
      <c r="B26" s="4">
        <v>44259</v>
      </c>
      <c r="C26" s="5">
        <v>3397</v>
      </c>
      <c r="D26" s="9" t="s">
        <v>110</v>
      </c>
      <c r="E26" s="5" t="s">
        <v>67</v>
      </c>
      <c r="F26" s="5" t="s">
        <v>29</v>
      </c>
      <c r="G26" s="5" t="s">
        <v>30</v>
      </c>
      <c r="H26" s="5">
        <v>100</v>
      </c>
      <c r="I26" s="7">
        <v>1582.4</v>
      </c>
      <c r="J26" s="9">
        <v>0</v>
      </c>
      <c r="K26" s="9">
        <v>0</v>
      </c>
      <c r="L26" s="9" t="s">
        <v>31</v>
      </c>
      <c r="M26" s="15">
        <f t="shared" si="0"/>
        <v>158240</v>
      </c>
      <c r="N26" s="19">
        <v>0</v>
      </c>
    </row>
    <row r="27" spans="1:14" x14ac:dyDescent="0.45">
      <c r="A27" s="4">
        <v>44263</v>
      </c>
      <c r="B27" s="4">
        <v>44265</v>
      </c>
      <c r="C27" s="5">
        <v>1963</v>
      </c>
      <c r="D27" s="9" t="s">
        <v>39</v>
      </c>
      <c r="E27" s="5" t="s">
        <v>67</v>
      </c>
      <c r="F27" s="5" t="s">
        <v>29</v>
      </c>
      <c r="G27" s="5" t="s">
        <v>30</v>
      </c>
      <c r="H27" s="5">
        <v>100</v>
      </c>
      <c r="I27" s="7">
        <v>1360</v>
      </c>
      <c r="J27" s="9">
        <v>0</v>
      </c>
      <c r="K27" s="9">
        <v>0</v>
      </c>
      <c r="L27" s="9" t="s">
        <v>31</v>
      </c>
      <c r="M27" s="15">
        <f t="shared" si="0"/>
        <v>136000</v>
      </c>
      <c r="N27" s="19">
        <v>0</v>
      </c>
    </row>
    <row r="28" spans="1:14" x14ac:dyDescent="0.45">
      <c r="A28" s="4">
        <v>44263</v>
      </c>
      <c r="B28" s="4">
        <v>44265</v>
      </c>
      <c r="C28" s="5">
        <v>1963</v>
      </c>
      <c r="D28" s="9" t="s">
        <v>39</v>
      </c>
      <c r="E28" s="5" t="s">
        <v>67</v>
      </c>
      <c r="F28" s="5" t="s">
        <v>29</v>
      </c>
      <c r="G28" s="5" t="s">
        <v>41</v>
      </c>
      <c r="H28" s="5">
        <v>100</v>
      </c>
      <c r="I28" s="7">
        <v>1370</v>
      </c>
      <c r="J28" s="9">
        <v>0</v>
      </c>
      <c r="K28" s="9">
        <v>0</v>
      </c>
      <c r="L28" s="9" t="s">
        <v>90</v>
      </c>
      <c r="M28" s="15">
        <f t="shared" si="0"/>
        <v>137000</v>
      </c>
      <c r="N28" s="19">
        <v>1000</v>
      </c>
    </row>
    <row r="29" spans="1:14" x14ac:dyDescent="0.45">
      <c r="A29" s="4">
        <v>44263</v>
      </c>
      <c r="B29" s="4">
        <v>44265</v>
      </c>
      <c r="C29" s="5">
        <v>9501</v>
      </c>
      <c r="D29" s="9" t="s">
        <v>111</v>
      </c>
      <c r="E29" s="5" t="s">
        <v>67</v>
      </c>
      <c r="F29" s="5" t="s">
        <v>29</v>
      </c>
      <c r="G29" s="5" t="s">
        <v>30</v>
      </c>
      <c r="H29" s="5">
        <v>100</v>
      </c>
      <c r="I29" s="9">
        <v>368</v>
      </c>
      <c r="J29" s="9">
        <v>0</v>
      </c>
      <c r="K29" s="9">
        <v>0</v>
      </c>
      <c r="L29" s="9" t="s">
        <v>31</v>
      </c>
      <c r="M29" s="15">
        <f t="shared" si="0"/>
        <v>36800</v>
      </c>
      <c r="N29" s="19">
        <v>0</v>
      </c>
    </row>
    <row r="30" spans="1:14" x14ac:dyDescent="0.45">
      <c r="A30" s="4">
        <v>44265</v>
      </c>
      <c r="B30" s="4">
        <v>44267</v>
      </c>
      <c r="C30" s="5">
        <v>7984</v>
      </c>
      <c r="D30" s="9" t="s">
        <v>112</v>
      </c>
      <c r="E30" s="5" t="s">
        <v>67</v>
      </c>
      <c r="F30" s="5" t="s">
        <v>29</v>
      </c>
      <c r="G30" s="5" t="s">
        <v>30</v>
      </c>
      <c r="H30" s="5">
        <v>100</v>
      </c>
      <c r="I30" s="7">
        <v>1620</v>
      </c>
      <c r="J30" s="9">
        <v>0</v>
      </c>
      <c r="K30" s="9">
        <v>0</v>
      </c>
      <c r="L30" s="9" t="s">
        <v>31</v>
      </c>
      <c r="M30" s="15">
        <f t="shared" si="0"/>
        <v>162000</v>
      </c>
      <c r="N30" s="19">
        <v>0</v>
      </c>
    </row>
    <row r="31" spans="1:14" x14ac:dyDescent="0.45">
      <c r="A31" s="4">
        <v>44265</v>
      </c>
      <c r="B31" s="4">
        <v>44267</v>
      </c>
      <c r="C31" s="5">
        <v>9501</v>
      </c>
      <c r="D31" s="9" t="s">
        <v>111</v>
      </c>
      <c r="E31" s="5" t="s">
        <v>67</v>
      </c>
      <c r="F31" s="5" t="s">
        <v>29</v>
      </c>
      <c r="G31" s="5" t="s">
        <v>41</v>
      </c>
      <c r="H31" s="5">
        <v>100</v>
      </c>
      <c r="I31" s="9">
        <v>371</v>
      </c>
      <c r="J31" s="9">
        <v>0</v>
      </c>
      <c r="K31" s="9">
        <v>0</v>
      </c>
      <c r="L31" s="9" t="s">
        <v>90</v>
      </c>
      <c r="M31" s="15">
        <f t="shared" si="0"/>
        <v>37100</v>
      </c>
      <c r="N31" s="19">
        <v>300</v>
      </c>
    </row>
    <row r="32" spans="1:14" x14ac:dyDescent="0.45">
      <c r="A32" s="4">
        <v>44266</v>
      </c>
      <c r="B32" s="4">
        <v>44270</v>
      </c>
      <c r="C32" s="5">
        <v>2914</v>
      </c>
      <c r="D32" s="9" t="s">
        <v>107</v>
      </c>
      <c r="E32" s="5" t="s">
        <v>67</v>
      </c>
      <c r="F32" s="5" t="s">
        <v>29</v>
      </c>
      <c r="G32" s="5" t="s">
        <v>41</v>
      </c>
      <c r="H32" s="5">
        <v>100</v>
      </c>
      <c r="I32" s="7">
        <v>2007</v>
      </c>
      <c r="J32" s="9">
        <v>0</v>
      </c>
      <c r="K32" s="9">
        <v>0</v>
      </c>
      <c r="L32" s="9" t="s">
        <v>90</v>
      </c>
      <c r="M32" s="15">
        <f t="shared" si="0"/>
        <v>200700</v>
      </c>
      <c r="N32" s="19">
        <v>1400</v>
      </c>
    </row>
    <row r="33" spans="1:14" x14ac:dyDescent="0.45">
      <c r="A33" s="4">
        <v>44270</v>
      </c>
      <c r="B33" s="4">
        <v>44272</v>
      </c>
      <c r="C33" s="5">
        <v>9810</v>
      </c>
      <c r="D33" s="9" t="s">
        <v>74</v>
      </c>
      <c r="E33" s="5" t="s">
        <v>67</v>
      </c>
      <c r="F33" s="5" t="s">
        <v>29</v>
      </c>
      <c r="G33" s="5" t="s">
        <v>30</v>
      </c>
      <c r="H33" s="5">
        <v>100</v>
      </c>
      <c r="I33" s="7">
        <v>4230</v>
      </c>
      <c r="J33" s="9">
        <v>0</v>
      </c>
      <c r="K33" s="9">
        <v>0</v>
      </c>
      <c r="L33" s="9" t="s">
        <v>31</v>
      </c>
      <c r="M33" s="15">
        <f t="shared" si="0"/>
        <v>423000</v>
      </c>
      <c r="N33" s="19">
        <v>0</v>
      </c>
    </row>
    <row r="34" spans="1:14" x14ac:dyDescent="0.45">
      <c r="A34" s="4">
        <v>44271</v>
      </c>
      <c r="B34" s="4">
        <v>44273</v>
      </c>
      <c r="C34" s="5">
        <v>4005</v>
      </c>
      <c r="D34" s="9" t="s">
        <v>113</v>
      </c>
      <c r="E34" s="5" t="s">
        <v>67</v>
      </c>
      <c r="F34" s="5" t="s">
        <v>29</v>
      </c>
      <c r="G34" s="5" t="s">
        <v>30</v>
      </c>
      <c r="H34" s="5">
        <v>100</v>
      </c>
      <c r="I34" s="9">
        <v>588</v>
      </c>
      <c r="J34" s="9">
        <v>0</v>
      </c>
      <c r="K34" s="9">
        <v>0</v>
      </c>
      <c r="L34" s="9" t="s">
        <v>31</v>
      </c>
      <c r="M34" s="15">
        <f t="shared" ref="M34:M65" si="1">IF(G34="買付",H34*I34+SUM(J34:K34),H34*I34-SUM(J34:K34))</f>
        <v>58800</v>
      </c>
      <c r="N34" s="19">
        <v>0</v>
      </c>
    </row>
    <row r="35" spans="1:14" x14ac:dyDescent="0.45">
      <c r="A35" s="4">
        <v>44272</v>
      </c>
      <c r="B35" s="4">
        <v>44274</v>
      </c>
      <c r="C35" s="5">
        <v>4337</v>
      </c>
      <c r="D35" s="9" t="s">
        <v>83</v>
      </c>
      <c r="E35" s="5" t="s">
        <v>67</v>
      </c>
      <c r="F35" s="5" t="s">
        <v>29</v>
      </c>
      <c r="G35" s="5" t="s">
        <v>30</v>
      </c>
      <c r="H35" s="5">
        <v>100</v>
      </c>
      <c r="I35" s="7">
        <v>3260</v>
      </c>
      <c r="J35" s="9">
        <v>0</v>
      </c>
      <c r="K35" s="9">
        <v>0</v>
      </c>
      <c r="L35" s="9" t="s">
        <v>31</v>
      </c>
      <c r="M35" s="15">
        <f t="shared" si="1"/>
        <v>326000</v>
      </c>
      <c r="N35" s="19">
        <v>0</v>
      </c>
    </row>
    <row r="36" spans="1:14" x14ac:dyDescent="0.45">
      <c r="A36" s="4">
        <v>44272</v>
      </c>
      <c r="B36" s="4">
        <v>44274</v>
      </c>
      <c r="C36" s="5">
        <v>9810</v>
      </c>
      <c r="D36" s="9" t="s">
        <v>74</v>
      </c>
      <c r="E36" s="5" t="s">
        <v>67</v>
      </c>
      <c r="F36" s="5" t="s">
        <v>29</v>
      </c>
      <c r="G36" s="5" t="s">
        <v>41</v>
      </c>
      <c r="H36" s="5">
        <v>100</v>
      </c>
      <c r="I36" s="7">
        <v>4240</v>
      </c>
      <c r="J36" s="9">
        <v>0</v>
      </c>
      <c r="K36" s="9">
        <v>0</v>
      </c>
      <c r="L36" s="9" t="s">
        <v>90</v>
      </c>
      <c r="M36" s="15">
        <f t="shared" si="1"/>
        <v>424000</v>
      </c>
      <c r="N36" s="19">
        <v>1000</v>
      </c>
    </row>
    <row r="37" spans="1:14" x14ac:dyDescent="0.45">
      <c r="A37" s="4">
        <v>44273</v>
      </c>
      <c r="B37" s="4">
        <v>44277</v>
      </c>
      <c r="C37" s="5">
        <v>4005</v>
      </c>
      <c r="D37" s="9" t="s">
        <v>113</v>
      </c>
      <c r="E37" s="5" t="s">
        <v>67</v>
      </c>
      <c r="F37" s="5" t="s">
        <v>29</v>
      </c>
      <c r="G37" s="5" t="s">
        <v>41</v>
      </c>
      <c r="H37" s="5">
        <v>100</v>
      </c>
      <c r="I37" s="9">
        <v>582.20000000000005</v>
      </c>
      <c r="J37" s="9">
        <v>0</v>
      </c>
      <c r="K37" s="9">
        <v>0</v>
      </c>
      <c r="L37" s="9" t="s">
        <v>90</v>
      </c>
      <c r="M37" s="15">
        <f t="shared" si="1"/>
        <v>58220.000000000007</v>
      </c>
      <c r="N37" s="19">
        <v>-580</v>
      </c>
    </row>
    <row r="38" spans="1:14" x14ac:dyDescent="0.45">
      <c r="A38" s="4">
        <v>44273</v>
      </c>
      <c r="B38" s="4">
        <v>44277</v>
      </c>
      <c r="C38" s="5">
        <v>7751</v>
      </c>
      <c r="D38" s="9" t="s">
        <v>35</v>
      </c>
      <c r="E38" s="5" t="s">
        <v>67</v>
      </c>
      <c r="F38" s="5" t="s">
        <v>29</v>
      </c>
      <c r="G38" s="5" t="s">
        <v>41</v>
      </c>
      <c r="H38" s="5">
        <v>100</v>
      </c>
      <c r="I38" s="7">
        <v>2371</v>
      </c>
      <c r="J38" s="9">
        <v>0</v>
      </c>
      <c r="K38" s="9">
        <v>0</v>
      </c>
      <c r="L38" s="9" t="s">
        <v>90</v>
      </c>
      <c r="M38" s="15">
        <f t="shared" si="1"/>
        <v>237100</v>
      </c>
      <c r="N38" s="19">
        <v>-2850</v>
      </c>
    </row>
    <row r="39" spans="1:14" x14ac:dyDescent="0.45">
      <c r="A39" s="4">
        <v>44273</v>
      </c>
      <c r="B39" s="4">
        <v>44277</v>
      </c>
      <c r="C39" s="5">
        <v>9810</v>
      </c>
      <c r="D39" s="9" t="s">
        <v>74</v>
      </c>
      <c r="E39" s="5" t="s">
        <v>67</v>
      </c>
      <c r="F39" s="5" t="s">
        <v>29</v>
      </c>
      <c r="G39" s="5" t="s">
        <v>30</v>
      </c>
      <c r="H39" s="5">
        <v>100</v>
      </c>
      <c r="I39" s="7">
        <v>4270</v>
      </c>
      <c r="J39" s="9">
        <v>0</v>
      </c>
      <c r="K39" s="9">
        <v>0</v>
      </c>
      <c r="L39" s="9" t="s">
        <v>31</v>
      </c>
      <c r="M39" s="15">
        <f t="shared" si="1"/>
        <v>427000</v>
      </c>
      <c r="N39" s="19">
        <v>0</v>
      </c>
    </row>
    <row r="40" spans="1:14" x14ac:dyDescent="0.45">
      <c r="A40" s="4">
        <v>44274</v>
      </c>
      <c r="B40" s="4">
        <v>44278</v>
      </c>
      <c r="C40" s="5">
        <v>9810</v>
      </c>
      <c r="D40" s="9" t="s">
        <v>74</v>
      </c>
      <c r="E40" s="5" t="s">
        <v>67</v>
      </c>
      <c r="F40" s="5" t="s">
        <v>29</v>
      </c>
      <c r="G40" s="5" t="s">
        <v>41</v>
      </c>
      <c r="H40" s="5">
        <v>100</v>
      </c>
      <c r="I40" s="7">
        <v>4285</v>
      </c>
      <c r="J40" s="9">
        <v>0</v>
      </c>
      <c r="K40" s="9">
        <v>0</v>
      </c>
      <c r="L40" s="9" t="s">
        <v>90</v>
      </c>
      <c r="M40" s="15">
        <f t="shared" si="1"/>
        <v>428500</v>
      </c>
      <c r="N40" s="19">
        <v>1500</v>
      </c>
    </row>
    <row r="41" spans="1:14" x14ac:dyDescent="0.45">
      <c r="A41" s="4">
        <v>44277</v>
      </c>
      <c r="B41" s="4">
        <v>44279</v>
      </c>
      <c r="C41" s="5">
        <v>2587</v>
      </c>
      <c r="D41" s="9" t="s">
        <v>114</v>
      </c>
      <c r="E41" s="5" t="s">
        <v>67</v>
      </c>
      <c r="F41" s="5" t="s">
        <v>29</v>
      </c>
      <c r="G41" s="5" t="s">
        <v>30</v>
      </c>
      <c r="H41" s="5">
        <v>100</v>
      </c>
      <c r="I41" s="7">
        <v>4130</v>
      </c>
      <c r="J41" s="9">
        <v>0</v>
      </c>
      <c r="K41" s="9">
        <v>0</v>
      </c>
      <c r="L41" s="9" t="s">
        <v>31</v>
      </c>
      <c r="M41" s="15">
        <f t="shared" si="1"/>
        <v>413000</v>
      </c>
      <c r="N41" s="19">
        <v>0</v>
      </c>
    </row>
    <row r="42" spans="1:14" x14ac:dyDescent="0.45">
      <c r="A42" s="4">
        <v>44279</v>
      </c>
      <c r="B42" s="4">
        <v>44281</v>
      </c>
      <c r="C42" s="5">
        <v>2201</v>
      </c>
      <c r="D42" s="9" t="s">
        <v>76</v>
      </c>
      <c r="E42" s="5" t="s">
        <v>67</v>
      </c>
      <c r="F42" s="5" t="s">
        <v>29</v>
      </c>
      <c r="G42" s="5" t="s">
        <v>41</v>
      </c>
      <c r="H42" s="5">
        <v>100</v>
      </c>
      <c r="I42" s="7">
        <v>4030</v>
      </c>
      <c r="J42" s="9">
        <v>601</v>
      </c>
      <c r="K42" s="9">
        <v>61</v>
      </c>
      <c r="L42" s="9" t="s">
        <v>90</v>
      </c>
      <c r="M42" s="15">
        <f t="shared" si="1"/>
        <v>402338</v>
      </c>
      <c r="N42" s="19">
        <v>15838</v>
      </c>
    </row>
    <row r="43" spans="1:14" x14ac:dyDescent="0.45">
      <c r="A43" s="4">
        <v>44279</v>
      </c>
      <c r="B43" s="4">
        <v>44281</v>
      </c>
      <c r="C43" s="5">
        <v>2587</v>
      </c>
      <c r="D43" s="9" t="s">
        <v>114</v>
      </c>
      <c r="E43" s="5" t="s">
        <v>67</v>
      </c>
      <c r="F43" s="5" t="s">
        <v>29</v>
      </c>
      <c r="G43" s="5" t="s">
        <v>41</v>
      </c>
      <c r="H43" s="5">
        <v>100</v>
      </c>
      <c r="I43" s="7">
        <v>4175</v>
      </c>
      <c r="J43" s="9">
        <v>620</v>
      </c>
      <c r="K43" s="9">
        <v>62</v>
      </c>
      <c r="L43" s="9" t="s">
        <v>90</v>
      </c>
      <c r="M43" s="15">
        <f t="shared" si="1"/>
        <v>416818</v>
      </c>
      <c r="N43" s="19">
        <v>3818</v>
      </c>
    </row>
    <row r="44" spans="1:14" x14ac:dyDescent="0.45">
      <c r="A44" s="4">
        <v>44279</v>
      </c>
      <c r="B44" s="4">
        <v>44281</v>
      </c>
      <c r="C44" s="5">
        <v>3395</v>
      </c>
      <c r="D44" s="9" t="s">
        <v>77</v>
      </c>
      <c r="E44" s="5" t="s">
        <v>67</v>
      </c>
      <c r="F44" s="5" t="s">
        <v>29</v>
      </c>
      <c r="G44" s="5" t="s">
        <v>41</v>
      </c>
      <c r="H44" s="5">
        <v>100</v>
      </c>
      <c r="I44" s="7">
        <v>1810.3</v>
      </c>
      <c r="J44" s="9">
        <v>269</v>
      </c>
      <c r="K44" s="9">
        <v>26</v>
      </c>
      <c r="L44" s="9" t="s">
        <v>90</v>
      </c>
      <c r="M44" s="15">
        <f t="shared" si="1"/>
        <v>180735</v>
      </c>
      <c r="N44" s="19">
        <v>13735</v>
      </c>
    </row>
    <row r="45" spans="1:14" x14ac:dyDescent="0.45">
      <c r="A45" s="4">
        <v>44279</v>
      </c>
      <c r="B45" s="4">
        <v>44281</v>
      </c>
      <c r="C45" s="5">
        <v>3397</v>
      </c>
      <c r="D45" s="9" t="s">
        <v>110</v>
      </c>
      <c r="E45" s="5" t="s">
        <v>67</v>
      </c>
      <c r="F45" s="5" t="s">
        <v>29</v>
      </c>
      <c r="G45" s="5" t="s">
        <v>41</v>
      </c>
      <c r="H45" s="5">
        <v>100</v>
      </c>
      <c r="I45" s="7">
        <v>1683</v>
      </c>
      <c r="J45" s="9">
        <v>250</v>
      </c>
      <c r="K45" s="9">
        <v>25</v>
      </c>
      <c r="L45" s="9" t="s">
        <v>90</v>
      </c>
      <c r="M45" s="15">
        <f t="shared" si="1"/>
        <v>168025</v>
      </c>
      <c r="N45" s="19">
        <v>9785</v>
      </c>
    </row>
    <row r="46" spans="1:14" x14ac:dyDescent="0.45">
      <c r="A46" s="4">
        <v>44279</v>
      </c>
      <c r="B46" s="4">
        <v>44281</v>
      </c>
      <c r="C46" s="5">
        <v>7984</v>
      </c>
      <c r="D46" s="9" t="s">
        <v>112</v>
      </c>
      <c r="E46" s="5" t="s">
        <v>67</v>
      </c>
      <c r="F46" s="5" t="s">
        <v>29</v>
      </c>
      <c r="G46" s="5" t="s">
        <v>41</v>
      </c>
      <c r="H46" s="5">
        <v>100</v>
      </c>
      <c r="I46" s="7">
        <v>1754</v>
      </c>
      <c r="J46" s="9">
        <v>260</v>
      </c>
      <c r="K46" s="9">
        <v>26</v>
      </c>
      <c r="L46" s="9" t="s">
        <v>90</v>
      </c>
      <c r="M46" s="15">
        <f t="shared" si="1"/>
        <v>175114</v>
      </c>
      <c r="N46" s="19">
        <v>13114</v>
      </c>
    </row>
    <row r="47" spans="1:14" x14ac:dyDescent="0.45">
      <c r="A47" s="4">
        <v>44280</v>
      </c>
      <c r="B47" s="4">
        <v>44284</v>
      </c>
      <c r="C47" s="5">
        <v>2201</v>
      </c>
      <c r="D47" s="9" t="s">
        <v>76</v>
      </c>
      <c r="E47" s="5" t="s">
        <v>67</v>
      </c>
      <c r="F47" s="5" t="s">
        <v>29</v>
      </c>
      <c r="G47" s="5" t="s">
        <v>30</v>
      </c>
      <c r="H47" s="5">
        <v>100</v>
      </c>
      <c r="I47" s="7">
        <v>4095</v>
      </c>
      <c r="J47" s="9">
        <v>0</v>
      </c>
      <c r="K47" s="9">
        <v>0</v>
      </c>
      <c r="L47" s="9" t="s">
        <v>31</v>
      </c>
      <c r="M47" s="15">
        <f t="shared" si="1"/>
        <v>409500</v>
      </c>
      <c r="N47" s="19">
        <v>0</v>
      </c>
    </row>
    <row r="48" spans="1:14" x14ac:dyDescent="0.45">
      <c r="A48" s="4">
        <v>44280</v>
      </c>
      <c r="B48" s="4">
        <v>44284</v>
      </c>
      <c r="C48" s="5">
        <v>3395</v>
      </c>
      <c r="D48" s="9" t="s">
        <v>77</v>
      </c>
      <c r="E48" s="5" t="s">
        <v>67</v>
      </c>
      <c r="F48" s="5" t="s">
        <v>29</v>
      </c>
      <c r="G48" s="5" t="s">
        <v>30</v>
      </c>
      <c r="H48" s="5">
        <v>100</v>
      </c>
      <c r="I48" s="7">
        <v>1823</v>
      </c>
      <c r="J48" s="9">
        <v>0</v>
      </c>
      <c r="K48" s="9">
        <v>0</v>
      </c>
      <c r="L48" s="9" t="s">
        <v>31</v>
      </c>
      <c r="M48" s="15">
        <f t="shared" si="1"/>
        <v>182300</v>
      </c>
      <c r="N48" s="19">
        <v>0</v>
      </c>
    </row>
    <row r="49" spans="1:14" x14ac:dyDescent="0.45">
      <c r="A49" s="4">
        <v>44280</v>
      </c>
      <c r="B49" s="4">
        <v>44284</v>
      </c>
      <c r="C49" s="5">
        <v>7011</v>
      </c>
      <c r="D49" s="9" t="s">
        <v>34</v>
      </c>
      <c r="E49" s="5" t="s">
        <v>67</v>
      </c>
      <c r="F49" s="5" t="s">
        <v>29</v>
      </c>
      <c r="G49" s="5" t="s">
        <v>30</v>
      </c>
      <c r="H49" s="5">
        <v>100</v>
      </c>
      <c r="I49" s="7">
        <v>3472</v>
      </c>
      <c r="J49" s="9">
        <v>0</v>
      </c>
      <c r="K49" s="9">
        <v>0</v>
      </c>
      <c r="L49" s="9" t="s">
        <v>31</v>
      </c>
      <c r="M49" s="15">
        <f t="shared" si="1"/>
        <v>347200</v>
      </c>
      <c r="N49" s="19">
        <v>0</v>
      </c>
    </row>
    <row r="50" spans="1:14" x14ac:dyDescent="0.45">
      <c r="A50" s="4">
        <v>44285</v>
      </c>
      <c r="B50" s="4">
        <v>44287</v>
      </c>
      <c r="C50" s="5">
        <v>2201</v>
      </c>
      <c r="D50" s="9" t="s">
        <v>76</v>
      </c>
      <c r="E50" s="5" t="s">
        <v>67</v>
      </c>
      <c r="F50" s="5" t="s">
        <v>29</v>
      </c>
      <c r="G50" s="5" t="s">
        <v>41</v>
      </c>
      <c r="H50" s="5">
        <v>100</v>
      </c>
      <c r="I50" s="7">
        <v>4045</v>
      </c>
      <c r="J50" s="9">
        <v>0</v>
      </c>
      <c r="K50" s="9">
        <v>0</v>
      </c>
      <c r="L50" s="9" t="s">
        <v>90</v>
      </c>
      <c r="M50" s="15">
        <f t="shared" si="1"/>
        <v>404500</v>
      </c>
      <c r="N50" s="19">
        <v>-5000</v>
      </c>
    </row>
    <row r="51" spans="1:14" x14ac:dyDescent="0.45">
      <c r="A51" s="4">
        <v>44285</v>
      </c>
      <c r="B51" s="4">
        <v>44287</v>
      </c>
      <c r="C51" s="5">
        <v>8802</v>
      </c>
      <c r="D51" s="9" t="s">
        <v>115</v>
      </c>
      <c r="E51" s="5" t="s">
        <v>67</v>
      </c>
      <c r="F51" s="5" t="s">
        <v>29</v>
      </c>
      <c r="G51" s="5" t="s">
        <v>30</v>
      </c>
      <c r="H51" s="5">
        <v>100</v>
      </c>
      <c r="I51" s="7">
        <v>1990</v>
      </c>
      <c r="J51" s="9">
        <v>0</v>
      </c>
      <c r="K51" s="9">
        <v>0</v>
      </c>
      <c r="L51" s="9" t="s">
        <v>31</v>
      </c>
      <c r="M51" s="15">
        <f t="shared" si="1"/>
        <v>199000</v>
      </c>
      <c r="N51" s="19">
        <v>0</v>
      </c>
    </row>
    <row r="52" spans="1:14" x14ac:dyDescent="0.45">
      <c r="A52" s="4">
        <v>44292</v>
      </c>
      <c r="B52" s="4">
        <v>44294</v>
      </c>
      <c r="C52" s="5">
        <v>2587</v>
      </c>
      <c r="D52" s="9" t="s">
        <v>114</v>
      </c>
      <c r="E52" s="5" t="s">
        <v>67</v>
      </c>
      <c r="F52" s="5" t="s">
        <v>29</v>
      </c>
      <c r="G52" s="5" t="s">
        <v>30</v>
      </c>
      <c r="H52" s="5">
        <v>100</v>
      </c>
      <c r="I52" s="7">
        <v>3980</v>
      </c>
      <c r="J52" s="9">
        <v>0</v>
      </c>
      <c r="K52" s="9">
        <v>0</v>
      </c>
      <c r="L52" s="9" t="s">
        <v>31</v>
      </c>
      <c r="M52" s="15">
        <f t="shared" si="1"/>
        <v>398000</v>
      </c>
      <c r="N52" s="19">
        <v>0</v>
      </c>
    </row>
    <row r="53" spans="1:14" x14ac:dyDescent="0.45">
      <c r="A53" s="4">
        <v>44292</v>
      </c>
      <c r="B53" s="4">
        <v>44294</v>
      </c>
      <c r="C53" s="5">
        <v>3397</v>
      </c>
      <c r="D53" s="9" t="s">
        <v>110</v>
      </c>
      <c r="E53" s="5" t="s">
        <v>67</v>
      </c>
      <c r="F53" s="5" t="s">
        <v>29</v>
      </c>
      <c r="G53" s="5" t="s">
        <v>30</v>
      </c>
      <c r="H53" s="5">
        <v>100</v>
      </c>
      <c r="I53" s="7">
        <v>1688</v>
      </c>
      <c r="J53" s="9">
        <v>0</v>
      </c>
      <c r="K53" s="9">
        <v>0</v>
      </c>
      <c r="L53" s="9" t="s">
        <v>31</v>
      </c>
      <c r="M53" s="15">
        <f t="shared" si="1"/>
        <v>168800</v>
      </c>
      <c r="N53" s="19">
        <v>0</v>
      </c>
    </row>
    <row r="54" spans="1:14" x14ac:dyDescent="0.45">
      <c r="A54" s="4">
        <v>44330</v>
      </c>
      <c r="B54" s="4">
        <v>44334</v>
      </c>
      <c r="C54" s="5">
        <v>4078</v>
      </c>
      <c r="D54" s="9" t="s">
        <v>116</v>
      </c>
      <c r="E54" s="5" t="s">
        <v>67</v>
      </c>
      <c r="F54" s="5" t="s">
        <v>29</v>
      </c>
      <c r="G54" s="5" t="s">
        <v>30</v>
      </c>
      <c r="H54" s="5">
        <v>100</v>
      </c>
      <c r="I54" s="7">
        <v>1900</v>
      </c>
      <c r="J54" s="9">
        <v>0</v>
      </c>
      <c r="K54" s="9">
        <v>0</v>
      </c>
      <c r="L54" s="9" t="s">
        <v>31</v>
      </c>
      <c r="M54" s="15">
        <f t="shared" si="1"/>
        <v>190000</v>
      </c>
      <c r="N54" s="19">
        <v>0</v>
      </c>
    </row>
    <row r="55" spans="1:14" x14ac:dyDescent="0.45">
      <c r="A55" s="4">
        <v>44337</v>
      </c>
      <c r="B55" s="4">
        <v>44341</v>
      </c>
      <c r="C55" s="5">
        <v>2587</v>
      </c>
      <c r="D55" s="9" t="s">
        <v>114</v>
      </c>
      <c r="E55" s="5" t="s">
        <v>67</v>
      </c>
      <c r="F55" s="5" t="s">
        <v>29</v>
      </c>
      <c r="G55" s="5" t="s">
        <v>41</v>
      </c>
      <c r="H55" s="5">
        <v>100</v>
      </c>
      <c r="I55" s="7">
        <v>3995</v>
      </c>
      <c r="J55" s="9">
        <v>0</v>
      </c>
      <c r="K55" s="9">
        <v>0</v>
      </c>
      <c r="L55" s="9" t="s">
        <v>90</v>
      </c>
      <c r="M55" s="15">
        <f t="shared" si="1"/>
        <v>399500</v>
      </c>
      <c r="N55" s="19">
        <v>1500</v>
      </c>
    </row>
    <row r="56" spans="1:14" x14ac:dyDescent="0.45">
      <c r="A56" s="4">
        <v>44337</v>
      </c>
      <c r="B56" s="4">
        <v>44341</v>
      </c>
      <c r="C56" s="5">
        <v>3397</v>
      </c>
      <c r="D56" s="9" t="s">
        <v>110</v>
      </c>
      <c r="E56" s="5" t="s">
        <v>67</v>
      </c>
      <c r="F56" s="5" t="s">
        <v>29</v>
      </c>
      <c r="G56" s="5" t="s">
        <v>41</v>
      </c>
      <c r="H56" s="5">
        <v>100</v>
      </c>
      <c r="I56" s="7">
        <v>1773</v>
      </c>
      <c r="J56" s="9">
        <v>0</v>
      </c>
      <c r="K56" s="9">
        <v>0</v>
      </c>
      <c r="L56" s="9" t="s">
        <v>90</v>
      </c>
      <c r="M56" s="15">
        <f t="shared" si="1"/>
        <v>177300</v>
      </c>
      <c r="N56" s="19">
        <v>8500</v>
      </c>
    </row>
    <row r="57" spans="1:14" x14ac:dyDescent="0.45">
      <c r="A57" s="4">
        <v>44347</v>
      </c>
      <c r="B57" s="4">
        <v>44349</v>
      </c>
      <c r="C57" s="5">
        <v>4337</v>
      </c>
      <c r="D57" s="9" t="s">
        <v>83</v>
      </c>
      <c r="E57" s="5" t="s">
        <v>67</v>
      </c>
      <c r="F57" s="5" t="s">
        <v>29</v>
      </c>
      <c r="G57" s="5" t="s">
        <v>41</v>
      </c>
      <c r="H57" s="5">
        <v>100</v>
      </c>
      <c r="I57" s="7">
        <v>3265</v>
      </c>
      <c r="J57" s="9">
        <v>0</v>
      </c>
      <c r="K57" s="9">
        <v>0</v>
      </c>
      <c r="L57" s="9" t="s">
        <v>90</v>
      </c>
      <c r="M57" s="15">
        <f t="shared" si="1"/>
        <v>326500</v>
      </c>
      <c r="N57" s="19">
        <v>500</v>
      </c>
    </row>
    <row r="58" spans="1:14" x14ac:dyDescent="0.45">
      <c r="A58" s="4">
        <v>44354</v>
      </c>
      <c r="B58" s="4">
        <v>44356</v>
      </c>
      <c r="C58" s="5">
        <v>3397</v>
      </c>
      <c r="D58" s="9" t="s">
        <v>110</v>
      </c>
      <c r="E58" s="5" t="s">
        <v>67</v>
      </c>
      <c r="F58" s="5" t="s">
        <v>29</v>
      </c>
      <c r="G58" s="5" t="s">
        <v>30</v>
      </c>
      <c r="H58" s="5">
        <v>100</v>
      </c>
      <c r="I58" s="7">
        <v>1775</v>
      </c>
      <c r="J58" s="9">
        <v>0</v>
      </c>
      <c r="K58" s="9">
        <v>0</v>
      </c>
      <c r="L58" s="9" t="s">
        <v>31</v>
      </c>
      <c r="M58" s="15">
        <f t="shared" si="1"/>
        <v>177500</v>
      </c>
      <c r="N58" s="19">
        <v>0</v>
      </c>
    </row>
    <row r="59" spans="1:14" x14ac:dyDescent="0.45">
      <c r="A59" s="4">
        <v>44354</v>
      </c>
      <c r="B59" s="4">
        <v>44356</v>
      </c>
      <c r="C59" s="5">
        <v>9810</v>
      </c>
      <c r="D59" s="9" t="s">
        <v>74</v>
      </c>
      <c r="E59" s="5" t="s">
        <v>67</v>
      </c>
      <c r="F59" s="5" t="s">
        <v>29</v>
      </c>
      <c r="G59" s="5" t="s">
        <v>30</v>
      </c>
      <c r="H59" s="5">
        <v>100</v>
      </c>
      <c r="I59" s="7">
        <v>4350</v>
      </c>
      <c r="J59" s="9">
        <v>0</v>
      </c>
      <c r="K59" s="9">
        <v>0</v>
      </c>
      <c r="L59" s="9" t="s">
        <v>31</v>
      </c>
      <c r="M59" s="15">
        <f t="shared" si="1"/>
        <v>435000</v>
      </c>
      <c r="N59" s="19">
        <v>0</v>
      </c>
    </row>
    <row r="60" spans="1:14" x14ac:dyDescent="0.45">
      <c r="A60" s="4">
        <v>44355</v>
      </c>
      <c r="B60" s="4">
        <v>44357</v>
      </c>
      <c r="C60" s="5">
        <v>2201</v>
      </c>
      <c r="D60" s="9" t="s">
        <v>76</v>
      </c>
      <c r="E60" s="5" t="s">
        <v>67</v>
      </c>
      <c r="F60" s="5" t="s">
        <v>29</v>
      </c>
      <c r="G60" s="5" t="s">
        <v>30</v>
      </c>
      <c r="H60" s="5">
        <v>100</v>
      </c>
      <c r="I60" s="7">
        <v>3495</v>
      </c>
      <c r="J60" s="9">
        <v>0</v>
      </c>
      <c r="K60" s="9">
        <v>0</v>
      </c>
      <c r="L60" s="9" t="s">
        <v>31</v>
      </c>
      <c r="M60" s="15">
        <f t="shared" si="1"/>
        <v>349500</v>
      </c>
      <c r="N60" s="19">
        <v>0</v>
      </c>
    </row>
    <row r="61" spans="1:14" x14ac:dyDescent="0.45">
      <c r="A61" s="4">
        <v>44356</v>
      </c>
      <c r="B61" s="4">
        <v>44358</v>
      </c>
      <c r="C61" s="5">
        <v>7011</v>
      </c>
      <c r="D61" s="9" t="s">
        <v>34</v>
      </c>
      <c r="E61" s="5" t="s">
        <v>67</v>
      </c>
      <c r="F61" s="5" t="s">
        <v>29</v>
      </c>
      <c r="G61" s="5" t="s">
        <v>41</v>
      </c>
      <c r="H61" s="5">
        <v>100</v>
      </c>
      <c r="I61" s="7">
        <v>3480</v>
      </c>
      <c r="J61" s="9">
        <v>0</v>
      </c>
      <c r="K61" s="9">
        <v>0</v>
      </c>
      <c r="L61" s="9" t="s">
        <v>90</v>
      </c>
      <c r="M61" s="15">
        <f t="shared" si="1"/>
        <v>348000</v>
      </c>
      <c r="N61" s="19">
        <v>800</v>
      </c>
    </row>
    <row r="62" spans="1:14" x14ac:dyDescent="0.45">
      <c r="A62" s="4">
        <v>44356</v>
      </c>
      <c r="B62" s="4">
        <v>44358</v>
      </c>
      <c r="C62" s="5">
        <v>9006</v>
      </c>
      <c r="D62" s="9" t="s">
        <v>117</v>
      </c>
      <c r="E62" s="5" t="s">
        <v>67</v>
      </c>
      <c r="F62" s="5" t="s">
        <v>29</v>
      </c>
      <c r="G62" s="5" t="s">
        <v>30</v>
      </c>
      <c r="H62" s="5">
        <v>100</v>
      </c>
      <c r="I62" s="7">
        <v>1528</v>
      </c>
      <c r="J62" s="9">
        <v>0</v>
      </c>
      <c r="K62" s="9">
        <v>0</v>
      </c>
      <c r="L62" s="9" t="s">
        <v>31</v>
      </c>
      <c r="M62" s="15">
        <f t="shared" si="1"/>
        <v>152800</v>
      </c>
      <c r="N62" s="19">
        <v>0</v>
      </c>
    </row>
    <row r="63" spans="1:14" x14ac:dyDescent="0.45">
      <c r="A63" s="4">
        <v>44356</v>
      </c>
      <c r="B63" s="4">
        <v>44358</v>
      </c>
      <c r="C63" s="5">
        <v>9513</v>
      </c>
      <c r="D63" s="9" t="s">
        <v>118</v>
      </c>
      <c r="E63" s="5" t="s">
        <v>67</v>
      </c>
      <c r="F63" s="5" t="s">
        <v>29</v>
      </c>
      <c r="G63" s="5" t="s">
        <v>30</v>
      </c>
      <c r="H63" s="5">
        <v>100</v>
      </c>
      <c r="I63" s="7">
        <v>1618</v>
      </c>
      <c r="J63" s="9">
        <v>0</v>
      </c>
      <c r="K63" s="9">
        <v>0</v>
      </c>
      <c r="L63" s="9" t="s">
        <v>31</v>
      </c>
      <c r="M63" s="15">
        <f t="shared" si="1"/>
        <v>161800</v>
      </c>
      <c r="N63" s="19">
        <v>0</v>
      </c>
    </row>
    <row r="64" spans="1:14" x14ac:dyDescent="0.45">
      <c r="A64" s="4">
        <v>44357</v>
      </c>
      <c r="B64" s="4">
        <v>44361</v>
      </c>
      <c r="C64" s="5">
        <v>4912</v>
      </c>
      <c r="D64" s="9" t="s">
        <v>75</v>
      </c>
      <c r="E64" s="5" t="s">
        <v>67</v>
      </c>
      <c r="F64" s="5" t="s">
        <v>29</v>
      </c>
      <c r="G64" s="5" t="s">
        <v>30</v>
      </c>
      <c r="H64" s="5">
        <v>100</v>
      </c>
      <c r="I64" s="7">
        <v>1970</v>
      </c>
      <c r="J64" s="9">
        <v>0</v>
      </c>
      <c r="K64" s="9">
        <v>0</v>
      </c>
      <c r="L64" s="9" t="s">
        <v>31</v>
      </c>
      <c r="M64" s="15">
        <f t="shared" si="1"/>
        <v>197000</v>
      </c>
      <c r="N64" s="19">
        <v>0</v>
      </c>
    </row>
    <row r="65" spans="1:14" x14ac:dyDescent="0.45">
      <c r="A65" s="4">
        <v>44365</v>
      </c>
      <c r="B65" s="4">
        <v>44369</v>
      </c>
      <c r="C65" s="5">
        <v>3397</v>
      </c>
      <c r="D65" s="9" t="s">
        <v>110</v>
      </c>
      <c r="E65" s="5" t="s">
        <v>67</v>
      </c>
      <c r="F65" s="5" t="s">
        <v>29</v>
      </c>
      <c r="G65" s="5" t="s">
        <v>41</v>
      </c>
      <c r="H65" s="5">
        <v>100</v>
      </c>
      <c r="I65" s="7">
        <v>1845</v>
      </c>
      <c r="J65" s="9">
        <v>0</v>
      </c>
      <c r="K65" s="9">
        <v>0</v>
      </c>
      <c r="L65" s="9" t="s">
        <v>90</v>
      </c>
      <c r="M65" s="15">
        <f t="shared" si="1"/>
        <v>184500</v>
      </c>
      <c r="N65" s="19">
        <v>7000</v>
      </c>
    </row>
    <row r="66" spans="1:14" x14ac:dyDescent="0.45">
      <c r="A66" s="4">
        <v>44365</v>
      </c>
      <c r="B66" s="4">
        <v>44369</v>
      </c>
      <c r="C66" s="5">
        <v>7011</v>
      </c>
      <c r="D66" s="9" t="s">
        <v>34</v>
      </c>
      <c r="E66" s="5" t="s">
        <v>67</v>
      </c>
      <c r="F66" s="5" t="s">
        <v>29</v>
      </c>
      <c r="G66" s="5" t="s">
        <v>30</v>
      </c>
      <c r="H66" s="5">
        <v>100</v>
      </c>
      <c r="I66" s="7">
        <v>3320</v>
      </c>
      <c r="J66" s="9">
        <v>0</v>
      </c>
      <c r="K66" s="9">
        <v>0</v>
      </c>
      <c r="L66" s="9" t="s">
        <v>31</v>
      </c>
      <c r="M66" s="15">
        <f t="shared" ref="M66:M97" si="2">IF(G66="買付",H66*I66+SUM(J66:K66),H66*I66-SUM(J66:K66))</f>
        <v>332000</v>
      </c>
      <c r="N66" s="19">
        <v>0</v>
      </c>
    </row>
    <row r="67" spans="1:14" x14ac:dyDescent="0.45">
      <c r="A67" s="4">
        <v>44371</v>
      </c>
      <c r="B67" s="4">
        <v>44375</v>
      </c>
      <c r="C67" s="5">
        <v>7011</v>
      </c>
      <c r="D67" s="9" t="s">
        <v>34</v>
      </c>
      <c r="E67" s="5" t="s">
        <v>67</v>
      </c>
      <c r="F67" s="5" t="s">
        <v>29</v>
      </c>
      <c r="G67" s="5" t="s">
        <v>41</v>
      </c>
      <c r="H67" s="5">
        <v>100</v>
      </c>
      <c r="I67" s="7">
        <v>3332</v>
      </c>
      <c r="J67" s="9">
        <v>0</v>
      </c>
      <c r="K67" s="9">
        <v>0</v>
      </c>
      <c r="L67" s="9" t="s">
        <v>90</v>
      </c>
      <c r="M67" s="15">
        <f t="shared" si="2"/>
        <v>333200</v>
      </c>
      <c r="N67" s="19">
        <v>1200</v>
      </c>
    </row>
    <row r="68" spans="1:14" x14ac:dyDescent="0.45">
      <c r="A68" s="4">
        <v>44375</v>
      </c>
      <c r="B68" s="4">
        <v>44377</v>
      </c>
      <c r="C68" s="5">
        <v>7012</v>
      </c>
      <c r="D68" s="9" t="s">
        <v>69</v>
      </c>
      <c r="E68" s="5" t="s">
        <v>67</v>
      </c>
      <c r="F68" s="5" t="s">
        <v>29</v>
      </c>
      <c r="G68" s="5" t="s">
        <v>30</v>
      </c>
      <c r="H68" s="5">
        <v>100</v>
      </c>
      <c r="I68" s="7">
        <v>2453</v>
      </c>
      <c r="J68" s="9">
        <v>0</v>
      </c>
      <c r="K68" s="9">
        <v>0</v>
      </c>
      <c r="L68" s="9" t="s">
        <v>31</v>
      </c>
      <c r="M68" s="15">
        <f t="shared" si="2"/>
        <v>245300</v>
      </c>
      <c r="N68" s="19">
        <v>0</v>
      </c>
    </row>
    <row r="69" spans="1:14" x14ac:dyDescent="0.45">
      <c r="A69" s="4">
        <v>44376</v>
      </c>
      <c r="B69" s="4">
        <v>44378</v>
      </c>
      <c r="C69" s="5">
        <v>4527</v>
      </c>
      <c r="D69" s="9" t="s">
        <v>119</v>
      </c>
      <c r="E69" s="5" t="s">
        <v>67</v>
      </c>
      <c r="F69" s="5" t="s">
        <v>29</v>
      </c>
      <c r="G69" s="5" t="s">
        <v>30</v>
      </c>
      <c r="H69" s="5">
        <v>100</v>
      </c>
      <c r="I69" s="7">
        <v>2997</v>
      </c>
      <c r="J69" s="9">
        <v>0</v>
      </c>
      <c r="K69" s="9">
        <v>0</v>
      </c>
      <c r="L69" s="9" t="s">
        <v>31</v>
      </c>
      <c r="M69" s="15">
        <f t="shared" si="2"/>
        <v>299700</v>
      </c>
      <c r="N69" s="19">
        <v>0</v>
      </c>
    </row>
    <row r="70" spans="1:14" x14ac:dyDescent="0.45">
      <c r="A70" s="4">
        <v>44376</v>
      </c>
      <c r="B70" s="4">
        <v>44378</v>
      </c>
      <c r="C70" s="5">
        <v>4527</v>
      </c>
      <c r="D70" s="9" t="s">
        <v>119</v>
      </c>
      <c r="E70" s="5" t="s">
        <v>67</v>
      </c>
      <c r="F70" s="5" t="s">
        <v>29</v>
      </c>
      <c r="G70" s="5" t="s">
        <v>41</v>
      </c>
      <c r="H70" s="5">
        <v>100</v>
      </c>
      <c r="I70" s="7">
        <v>3010</v>
      </c>
      <c r="J70" s="9">
        <v>0</v>
      </c>
      <c r="K70" s="9">
        <v>0</v>
      </c>
      <c r="L70" s="9" t="s">
        <v>90</v>
      </c>
      <c r="M70" s="15">
        <f t="shared" si="2"/>
        <v>301000</v>
      </c>
      <c r="N70" s="19">
        <v>1300</v>
      </c>
    </row>
    <row r="71" spans="1:14" x14ac:dyDescent="0.45">
      <c r="A71" s="4">
        <v>44376</v>
      </c>
      <c r="B71" s="4">
        <v>44378</v>
      </c>
      <c r="C71" s="5">
        <v>7011</v>
      </c>
      <c r="D71" s="9" t="s">
        <v>34</v>
      </c>
      <c r="E71" s="5" t="s">
        <v>67</v>
      </c>
      <c r="F71" s="5" t="s">
        <v>29</v>
      </c>
      <c r="G71" s="5" t="s">
        <v>30</v>
      </c>
      <c r="H71" s="5">
        <v>100</v>
      </c>
      <c r="I71" s="7">
        <v>3282</v>
      </c>
      <c r="J71" s="9">
        <v>0</v>
      </c>
      <c r="K71" s="9">
        <v>0</v>
      </c>
      <c r="L71" s="9" t="s">
        <v>31</v>
      </c>
      <c r="M71" s="15">
        <f t="shared" si="2"/>
        <v>328200</v>
      </c>
      <c r="N71" s="19">
        <v>0</v>
      </c>
    </row>
    <row r="72" spans="1:14" x14ac:dyDescent="0.45">
      <c r="A72" s="4">
        <v>44377</v>
      </c>
      <c r="B72" s="4">
        <v>44379</v>
      </c>
      <c r="C72" s="5">
        <v>2201</v>
      </c>
      <c r="D72" s="9" t="s">
        <v>76</v>
      </c>
      <c r="E72" s="5" t="s">
        <v>67</v>
      </c>
      <c r="F72" s="5" t="s">
        <v>29</v>
      </c>
      <c r="G72" s="5" t="s">
        <v>41</v>
      </c>
      <c r="H72" s="5">
        <v>100</v>
      </c>
      <c r="I72" s="7">
        <v>3565</v>
      </c>
      <c r="J72" s="9">
        <v>0</v>
      </c>
      <c r="K72" s="9">
        <v>0</v>
      </c>
      <c r="L72" s="9" t="s">
        <v>90</v>
      </c>
      <c r="M72" s="15">
        <f t="shared" si="2"/>
        <v>356500</v>
      </c>
      <c r="N72" s="19">
        <v>7000</v>
      </c>
    </row>
    <row r="73" spans="1:14" x14ac:dyDescent="0.45">
      <c r="A73" s="4">
        <v>44377</v>
      </c>
      <c r="B73" s="4">
        <v>44379</v>
      </c>
      <c r="C73" s="5">
        <v>7011</v>
      </c>
      <c r="D73" s="9" t="s">
        <v>34</v>
      </c>
      <c r="E73" s="5" t="s">
        <v>67</v>
      </c>
      <c r="F73" s="5" t="s">
        <v>29</v>
      </c>
      <c r="G73" s="5" t="s">
        <v>41</v>
      </c>
      <c r="H73" s="5">
        <v>100</v>
      </c>
      <c r="I73" s="7">
        <v>3287</v>
      </c>
      <c r="J73" s="9">
        <v>0</v>
      </c>
      <c r="K73" s="9">
        <v>0</v>
      </c>
      <c r="L73" s="9" t="s">
        <v>90</v>
      </c>
      <c r="M73" s="15">
        <f t="shared" si="2"/>
        <v>328700</v>
      </c>
      <c r="N73" s="19">
        <v>500</v>
      </c>
    </row>
    <row r="74" spans="1:14" x14ac:dyDescent="0.45">
      <c r="A74" s="4">
        <v>44378</v>
      </c>
      <c r="B74" s="4">
        <v>44382</v>
      </c>
      <c r="C74" s="5">
        <v>9810</v>
      </c>
      <c r="D74" s="9" t="s">
        <v>74</v>
      </c>
      <c r="E74" s="5" t="s">
        <v>67</v>
      </c>
      <c r="F74" s="5" t="s">
        <v>29</v>
      </c>
      <c r="G74" s="5" t="s">
        <v>41</v>
      </c>
      <c r="H74" s="5">
        <v>100</v>
      </c>
      <c r="I74" s="7">
        <v>4350</v>
      </c>
      <c r="J74" s="9">
        <v>0</v>
      </c>
      <c r="K74" s="9">
        <v>0</v>
      </c>
      <c r="L74" s="9" t="s">
        <v>90</v>
      </c>
      <c r="M74" s="15">
        <f t="shared" si="2"/>
        <v>435000</v>
      </c>
      <c r="N74" s="19">
        <v>0</v>
      </c>
    </row>
    <row r="75" spans="1:14" x14ac:dyDescent="0.45">
      <c r="A75" s="4">
        <v>44382</v>
      </c>
      <c r="B75" s="4">
        <v>44384</v>
      </c>
      <c r="C75" s="5">
        <v>9202</v>
      </c>
      <c r="D75" s="9" t="s">
        <v>120</v>
      </c>
      <c r="E75" s="5" t="s">
        <v>67</v>
      </c>
      <c r="F75" s="5" t="s">
        <v>29</v>
      </c>
      <c r="G75" s="5" t="s">
        <v>30</v>
      </c>
      <c r="H75" s="5">
        <v>100</v>
      </c>
      <c r="I75" s="7">
        <v>2740</v>
      </c>
      <c r="J75" s="9">
        <v>0</v>
      </c>
      <c r="K75" s="9">
        <v>0</v>
      </c>
      <c r="L75" s="9" t="s">
        <v>31</v>
      </c>
      <c r="M75" s="15">
        <f t="shared" si="2"/>
        <v>274000</v>
      </c>
      <c r="N75" s="19">
        <v>0</v>
      </c>
    </row>
    <row r="76" spans="1:14" x14ac:dyDescent="0.45">
      <c r="A76" s="4">
        <v>44382</v>
      </c>
      <c r="B76" s="4">
        <v>44384</v>
      </c>
      <c r="C76" s="5">
        <v>9202</v>
      </c>
      <c r="D76" s="9" t="s">
        <v>120</v>
      </c>
      <c r="E76" s="5" t="s">
        <v>67</v>
      </c>
      <c r="F76" s="5" t="s">
        <v>29</v>
      </c>
      <c r="G76" s="5" t="s">
        <v>41</v>
      </c>
      <c r="H76" s="5">
        <v>100</v>
      </c>
      <c r="I76" s="7">
        <v>2741</v>
      </c>
      <c r="J76" s="9">
        <v>0</v>
      </c>
      <c r="K76" s="9">
        <v>0</v>
      </c>
      <c r="L76" s="9" t="s">
        <v>90</v>
      </c>
      <c r="M76" s="15">
        <f t="shared" si="2"/>
        <v>274100</v>
      </c>
      <c r="N76" s="19">
        <v>100</v>
      </c>
    </row>
    <row r="77" spans="1:14" x14ac:dyDescent="0.45">
      <c r="A77" s="4">
        <v>44382</v>
      </c>
      <c r="B77" s="4">
        <v>44384</v>
      </c>
      <c r="C77" s="5">
        <v>9513</v>
      </c>
      <c r="D77" s="9" t="s">
        <v>118</v>
      </c>
      <c r="E77" s="5" t="s">
        <v>67</v>
      </c>
      <c r="F77" s="5" t="s">
        <v>29</v>
      </c>
      <c r="G77" s="5" t="s">
        <v>41</v>
      </c>
      <c r="H77" s="5">
        <v>100</v>
      </c>
      <c r="I77" s="7">
        <v>1623</v>
      </c>
      <c r="J77" s="9">
        <v>0</v>
      </c>
      <c r="K77" s="9">
        <v>0</v>
      </c>
      <c r="L77" s="9" t="s">
        <v>90</v>
      </c>
      <c r="M77" s="15">
        <f t="shared" si="2"/>
        <v>162300</v>
      </c>
      <c r="N77" s="19">
        <v>500</v>
      </c>
    </row>
    <row r="78" spans="1:14" x14ac:dyDescent="0.45">
      <c r="A78" s="4">
        <v>44383</v>
      </c>
      <c r="B78" s="4">
        <v>44385</v>
      </c>
      <c r="C78" s="5">
        <v>4337</v>
      </c>
      <c r="D78" s="9" t="s">
        <v>83</v>
      </c>
      <c r="E78" s="5" t="s">
        <v>67</v>
      </c>
      <c r="F78" s="5" t="s">
        <v>29</v>
      </c>
      <c r="G78" s="5" t="s">
        <v>30</v>
      </c>
      <c r="H78" s="5">
        <v>100</v>
      </c>
      <c r="I78" s="7">
        <v>3565</v>
      </c>
      <c r="J78" s="9">
        <v>0</v>
      </c>
      <c r="K78" s="9">
        <v>0</v>
      </c>
      <c r="L78" s="9" t="s">
        <v>31</v>
      </c>
      <c r="M78" s="15">
        <f t="shared" si="2"/>
        <v>356500</v>
      </c>
      <c r="N78" s="19">
        <v>0</v>
      </c>
    </row>
    <row r="79" spans="1:14" x14ac:dyDescent="0.45">
      <c r="A79" s="4">
        <v>44383</v>
      </c>
      <c r="B79" s="4">
        <v>44385</v>
      </c>
      <c r="C79" s="5">
        <v>9810</v>
      </c>
      <c r="D79" s="9" t="s">
        <v>74</v>
      </c>
      <c r="E79" s="5" t="s">
        <v>67</v>
      </c>
      <c r="F79" s="5" t="s">
        <v>29</v>
      </c>
      <c r="G79" s="5" t="s">
        <v>30</v>
      </c>
      <c r="H79" s="5">
        <v>100</v>
      </c>
      <c r="I79" s="7">
        <v>4484</v>
      </c>
      <c r="J79" s="9">
        <v>0</v>
      </c>
      <c r="K79" s="9">
        <v>0</v>
      </c>
      <c r="L79" s="9" t="s">
        <v>31</v>
      </c>
      <c r="M79" s="15">
        <f t="shared" si="2"/>
        <v>448400</v>
      </c>
      <c r="N79" s="19">
        <v>0</v>
      </c>
    </row>
    <row r="80" spans="1:14" x14ac:dyDescent="0.45">
      <c r="A80" s="4">
        <v>44384</v>
      </c>
      <c r="B80" s="4">
        <v>44386</v>
      </c>
      <c r="C80" s="5">
        <v>2201</v>
      </c>
      <c r="D80" s="9" t="s">
        <v>76</v>
      </c>
      <c r="E80" s="5" t="s">
        <v>67</v>
      </c>
      <c r="F80" s="5" t="s">
        <v>29</v>
      </c>
      <c r="G80" s="5" t="s">
        <v>30</v>
      </c>
      <c r="H80" s="5">
        <v>100</v>
      </c>
      <c r="I80" s="7">
        <v>3625</v>
      </c>
      <c r="J80" s="9">
        <v>0</v>
      </c>
      <c r="K80" s="9">
        <v>0</v>
      </c>
      <c r="L80" s="9" t="s">
        <v>31</v>
      </c>
      <c r="M80" s="15">
        <f t="shared" si="2"/>
        <v>362500</v>
      </c>
      <c r="N80" s="19">
        <v>0</v>
      </c>
    </row>
    <row r="81" spans="1:14" x14ac:dyDescent="0.45">
      <c r="A81" s="4">
        <v>44390</v>
      </c>
      <c r="B81" s="4">
        <v>44392</v>
      </c>
      <c r="C81" s="5">
        <v>4912</v>
      </c>
      <c r="D81" s="9" t="s">
        <v>75</v>
      </c>
      <c r="E81" s="5" t="s">
        <v>67</v>
      </c>
      <c r="F81" s="5" t="s">
        <v>29</v>
      </c>
      <c r="G81" s="5" t="s">
        <v>41</v>
      </c>
      <c r="H81" s="5">
        <v>100</v>
      </c>
      <c r="I81" s="7">
        <v>1985</v>
      </c>
      <c r="J81" s="9">
        <v>0</v>
      </c>
      <c r="K81" s="9">
        <v>0</v>
      </c>
      <c r="L81" s="9" t="s">
        <v>90</v>
      </c>
      <c r="M81" s="15">
        <f t="shared" si="2"/>
        <v>198500</v>
      </c>
      <c r="N81" s="19">
        <v>1500</v>
      </c>
    </row>
    <row r="82" spans="1:14" x14ac:dyDescent="0.45">
      <c r="A82" s="4">
        <v>44390</v>
      </c>
      <c r="B82" s="4">
        <v>44392</v>
      </c>
      <c r="C82" s="5">
        <v>7012</v>
      </c>
      <c r="D82" s="9" t="s">
        <v>69</v>
      </c>
      <c r="E82" s="5" t="s">
        <v>67</v>
      </c>
      <c r="F82" s="5" t="s">
        <v>29</v>
      </c>
      <c r="G82" s="5" t="s">
        <v>41</v>
      </c>
      <c r="H82" s="5">
        <v>100</v>
      </c>
      <c r="I82" s="7">
        <v>2454</v>
      </c>
      <c r="J82" s="9">
        <v>0</v>
      </c>
      <c r="K82" s="9">
        <v>0</v>
      </c>
      <c r="L82" s="9" t="s">
        <v>90</v>
      </c>
      <c r="M82" s="15">
        <f t="shared" si="2"/>
        <v>245400</v>
      </c>
      <c r="N82" s="19">
        <v>100</v>
      </c>
    </row>
    <row r="83" spans="1:14" x14ac:dyDescent="0.45">
      <c r="A83" s="4">
        <v>44390</v>
      </c>
      <c r="B83" s="4">
        <v>44392</v>
      </c>
      <c r="C83" s="5">
        <v>9810</v>
      </c>
      <c r="D83" s="9" t="s">
        <v>74</v>
      </c>
      <c r="E83" s="5" t="s">
        <v>67</v>
      </c>
      <c r="F83" s="5" t="s">
        <v>29</v>
      </c>
      <c r="G83" s="5" t="s">
        <v>41</v>
      </c>
      <c r="H83" s="5">
        <v>100</v>
      </c>
      <c r="I83" s="7">
        <v>4560</v>
      </c>
      <c r="J83" s="9">
        <v>0</v>
      </c>
      <c r="K83" s="9">
        <v>0</v>
      </c>
      <c r="L83" s="9" t="s">
        <v>90</v>
      </c>
      <c r="M83" s="15">
        <f t="shared" si="2"/>
        <v>456000</v>
      </c>
      <c r="N83" s="19">
        <v>7600</v>
      </c>
    </row>
    <row r="84" spans="1:14" x14ac:dyDescent="0.45">
      <c r="A84" s="4">
        <v>44391</v>
      </c>
      <c r="B84" s="4">
        <v>44393</v>
      </c>
      <c r="C84" s="5">
        <v>4078</v>
      </c>
      <c r="D84" s="9" t="s">
        <v>116</v>
      </c>
      <c r="E84" s="5" t="s">
        <v>67</v>
      </c>
      <c r="F84" s="5" t="s">
        <v>29</v>
      </c>
      <c r="G84" s="5" t="s">
        <v>41</v>
      </c>
      <c r="H84" s="5">
        <v>100</v>
      </c>
      <c r="I84" s="7">
        <v>1915</v>
      </c>
      <c r="J84" s="9">
        <v>0</v>
      </c>
      <c r="K84" s="9">
        <v>0</v>
      </c>
      <c r="L84" s="9" t="s">
        <v>90</v>
      </c>
      <c r="M84" s="15">
        <f t="shared" si="2"/>
        <v>191500</v>
      </c>
      <c r="N84" s="19">
        <v>1500</v>
      </c>
    </row>
    <row r="85" spans="1:14" x14ac:dyDescent="0.45">
      <c r="A85" s="4">
        <v>44396</v>
      </c>
      <c r="B85" s="4">
        <v>44398</v>
      </c>
      <c r="C85" s="5">
        <v>3591</v>
      </c>
      <c r="D85" s="9" t="s">
        <v>121</v>
      </c>
      <c r="E85" s="5" t="s">
        <v>67</v>
      </c>
      <c r="F85" s="5" t="s">
        <v>29</v>
      </c>
      <c r="G85" s="5" t="s">
        <v>30</v>
      </c>
      <c r="H85" s="5">
        <v>100</v>
      </c>
      <c r="I85" s="7">
        <v>2450</v>
      </c>
      <c r="J85" s="9">
        <v>0</v>
      </c>
      <c r="K85" s="9">
        <v>0</v>
      </c>
      <c r="L85" s="9" t="s">
        <v>31</v>
      </c>
      <c r="M85" s="15">
        <f t="shared" si="2"/>
        <v>245000</v>
      </c>
      <c r="N85" s="19">
        <v>0</v>
      </c>
    </row>
    <row r="86" spans="1:14" x14ac:dyDescent="0.45">
      <c r="A86" s="4">
        <v>44396</v>
      </c>
      <c r="B86" s="4">
        <v>44398</v>
      </c>
      <c r="C86" s="5">
        <v>9810</v>
      </c>
      <c r="D86" s="9" t="s">
        <v>74</v>
      </c>
      <c r="E86" s="5" t="s">
        <v>67</v>
      </c>
      <c r="F86" s="5" t="s">
        <v>29</v>
      </c>
      <c r="G86" s="5" t="s">
        <v>30</v>
      </c>
      <c r="H86" s="5">
        <v>100</v>
      </c>
      <c r="I86" s="7">
        <v>4460</v>
      </c>
      <c r="J86" s="9">
        <v>0</v>
      </c>
      <c r="K86" s="9">
        <v>0</v>
      </c>
      <c r="L86" s="9" t="s">
        <v>31</v>
      </c>
      <c r="M86" s="15">
        <f t="shared" si="2"/>
        <v>446000</v>
      </c>
      <c r="N86" s="19">
        <v>0</v>
      </c>
    </row>
    <row r="87" spans="1:14" x14ac:dyDescent="0.45">
      <c r="A87" s="4">
        <v>44398</v>
      </c>
      <c r="B87" s="4">
        <v>44404</v>
      </c>
      <c r="C87" s="5">
        <v>9810</v>
      </c>
      <c r="D87" s="9" t="s">
        <v>74</v>
      </c>
      <c r="E87" s="5" t="s">
        <v>67</v>
      </c>
      <c r="F87" s="5" t="s">
        <v>29</v>
      </c>
      <c r="G87" s="5" t="s">
        <v>41</v>
      </c>
      <c r="H87" s="5">
        <v>100</v>
      </c>
      <c r="I87" s="7">
        <v>4520</v>
      </c>
      <c r="J87" s="9">
        <v>0</v>
      </c>
      <c r="K87" s="9">
        <v>0</v>
      </c>
      <c r="L87" s="9" t="s">
        <v>90</v>
      </c>
      <c r="M87" s="15">
        <f t="shared" si="2"/>
        <v>452000</v>
      </c>
      <c r="N87" s="19">
        <v>6000</v>
      </c>
    </row>
    <row r="88" spans="1:14" x14ac:dyDescent="0.45">
      <c r="A88" s="4">
        <v>44403</v>
      </c>
      <c r="B88" s="4">
        <v>44405</v>
      </c>
      <c r="C88" s="5">
        <v>3591</v>
      </c>
      <c r="D88" s="9" t="s">
        <v>121</v>
      </c>
      <c r="E88" s="5" t="s">
        <v>67</v>
      </c>
      <c r="F88" s="5" t="s">
        <v>29</v>
      </c>
      <c r="G88" s="5" t="s">
        <v>41</v>
      </c>
      <c r="H88" s="5">
        <v>100</v>
      </c>
      <c r="I88" s="7">
        <v>2474</v>
      </c>
      <c r="J88" s="9">
        <v>0</v>
      </c>
      <c r="K88" s="9">
        <v>0</v>
      </c>
      <c r="L88" s="9" t="s">
        <v>90</v>
      </c>
      <c r="M88" s="15">
        <f t="shared" si="2"/>
        <v>247400</v>
      </c>
      <c r="N88" s="19">
        <v>2400</v>
      </c>
    </row>
    <row r="89" spans="1:14" x14ac:dyDescent="0.45">
      <c r="A89" s="4">
        <v>44404</v>
      </c>
      <c r="B89" s="4">
        <v>44406</v>
      </c>
      <c r="C89" s="5">
        <v>3397</v>
      </c>
      <c r="D89" s="9" t="s">
        <v>110</v>
      </c>
      <c r="E89" s="5" t="s">
        <v>67</v>
      </c>
      <c r="F89" s="5" t="s">
        <v>29</v>
      </c>
      <c r="G89" s="5" t="s">
        <v>30</v>
      </c>
      <c r="H89" s="5">
        <v>100</v>
      </c>
      <c r="I89" s="7">
        <v>1980</v>
      </c>
      <c r="J89" s="9">
        <v>0</v>
      </c>
      <c r="K89" s="9">
        <v>0</v>
      </c>
      <c r="L89" s="9" t="s">
        <v>31</v>
      </c>
      <c r="M89" s="15">
        <f t="shared" si="2"/>
        <v>198000</v>
      </c>
      <c r="N89" s="19">
        <v>0</v>
      </c>
    </row>
    <row r="90" spans="1:14" x14ac:dyDescent="0.45">
      <c r="A90" s="4">
        <v>44404</v>
      </c>
      <c r="B90" s="4">
        <v>44406</v>
      </c>
      <c r="C90" s="5">
        <v>3397</v>
      </c>
      <c r="D90" s="9" t="s">
        <v>110</v>
      </c>
      <c r="E90" s="5" t="s">
        <v>67</v>
      </c>
      <c r="F90" s="5" t="s">
        <v>29</v>
      </c>
      <c r="G90" s="5" t="s">
        <v>41</v>
      </c>
      <c r="H90" s="5">
        <v>100</v>
      </c>
      <c r="I90" s="7">
        <v>2010</v>
      </c>
      <c r="J90" s="9">
        <v>0</v>
      </c>
      <c r="K90" s="9">
        <v>0</v>
      </c>
      <c r="L90" s="9" t="s">
        <v>90</v>
      </c>
      <c r="M90" s="15">
        <f t="shared" si="2"/>
        <v>201000</v>
      </c>
      <c r="N90" s="19">
        <v>3000</v>
      </c>
    </row>
    <row r="91" spans="1:14" x14ac:dyDescent="0.45">
      <c r="A91" s="4">
        <v>44411</v>
      </c>
      <c r="B91" s="4">
        <v>44413</v>
      </c>
      <c r="C91" s="5">
        <v>9104</v>
      </c>
      <c r="D91" s="9" t="s">
        <v>91</v>
      </c>
      <c r="E91" s="5" t="s">
        <v>67</v>
      </c>
      <c r="F91" s="5" t="s">
        <v>29</v>
      </c>
      <c r="G91" s="5" t="s">
        <v>30</v>
      </c>
      <c r="H91" s="5">
        <v>100</v>
      </c>
      <c r="I91" s="7">
        <v>6500</v>
      </c>
      <c r="J91" s="9">
        <v>0</v>
      </c>
      <c r="K91" s="9">
        <v>0</v>
      </c>
      <c r="L91" s="9" t="s">
        <v>31</v>
      </c>
      <c r="M91" s="15">
        <f t="shared" si="2"/>
        <v>650000</v>
      </c>
      <c r="N91" s="19">
        <v>0</v>
      </c>
    </row>
    <row r="92" spans="1:14" x14ac:dyDescent="0.45">
      <c r="A92" s="4">
        <v>44412</v>
      </c>
      <c r="B92" s="4">
        <v>44414</v>
      </c>
      <c r="C92" s="5">
        <v>4337</v>
      </c>
      <c r="D92" s="9" t="s">
        <v>83</v>
      </c>
      <c r="E92" s="5" t="s">
        <v>67</v>
      </c>
      <c r="F92" s="5" t="s">
        <v>29</v>
      </c>
      <c r="G92" s="5" t="s">
        <v>41</v>
      </c>
      <c r="H92" s="5">
        <v>100</v>
      </c>
      <c r="I92" s="7">
        <v>3083</v>
      </c>
      <c r="J92" s="9">
        <v>0</v>
      </c>
      <c r="K92" s="9">
        <v>0</v>
      </c>
      <c r="L92" s="9" t="s">
        <v>90</v>
      </c>
      <c r="M92" s="15">
        <f t="shared" si="2"/>
        <v>308300</v>
      </c>
      <c r="N92" s="19">
        <v>-48200</v>
      </c>
    </row>
    <row r="93" spans="1:14" x14ac:dyDescent="0.45">
      <c r="A93" s="4">
        <v>44412</v>
      </c>
      <c r="B93" s="4">
        <v>44414</v>
      </c>
      <c r="C93" s="5">
        <v>9107</v>
      </c>
      <c r="D93" s="9" t="s">
        <v>92</v>
      </c>
      <c r="E93" s="5" t="s">
        <v>67</v>
      </c>
      <c r="F93" s="5" t="s">
        <v>29</v>
      </c>
      <c r="G93" s="5" t="s">
        <v>30</v>
      </c>
      <c r="H93" s="5">
        <v>100</v>
      </c>
      <c r="I93" s="7">
        <v>4359</v>
      </c>
      <c r="J93" s="9">
        <v>0</v>
      </c>
      <c r="K93" s="9">
        <v>0</v>
      </c>
      <c r="L93" s="9" t="s">
        <v>31</v>
      </c>
      <c r="M93" s="15">
        <f t="shared" si="2"/>
        <v>435900</v>
      </c>
      <c r="N93" s="19">
        <v>0</v>
      </c>
    </row>
    <row r="94" spans="1:14" x14ac:dyDescent="0.45">
      <c r="A94" s="4">
        <v>44412</v>
      </c>
      <c r="B94" s="4">
        <v>44414</v>
      </c>
      <c r="C94" s="5">
        <v>9107</v>
      </c>
      <c r="D94" s="9" t="s">
        <v>92</v>
      </c>
      <c r="E94" s="5" t="s">
        <v>67</v>
      </c>
      <c r="F94" s="5" t="s">
        <v>29</v>
      </c>
      <c r="G94" s="5" t="s">
        <v>41</v>
      </c>
      <c r="H94" s="5">
        <v>100</v>
      </c>
      <c r="I94" s="7">
        <v>4300</v>
      </c>
      <c r="J94" s="9">
        <v>0</v>
      </c>
      <c r="K94" s="9">
        <v>0</v>
      </c>
      <c r="L94" s="9" t="s">
        <v>90</v>
      </c>
      <c r="M94" s="15">
        <f t="shared" si="2"/>
        <v>430000</v>
      </c>
      <c r="N94" s="19" t="s">
        <v>170</v>
      </c>
    </row>
    <row r="95" spans="1:14" x14ac:dyDescent="0.45">
      <c r="A95" s="4">
        <v>44412</v>
      </c>
      <c r="B95" s="4">
        <v>44414</v>
      </c>
      <c r="C95" s="5">
        <v>9308</v>
      </c>
      <c r="D95" s="9" t="s">
        <v>70</v>
      </c>
      <c r="E95" s="5" t="s">
        <v>67</v>
      </c>
      <c r="F95" s="5" t="s">
        <v>29</v>
      </c>
      <c r="G95" s="5" t="s">
        <v>30</v>
      </c>
      <c r="H95" s="5">
        <v>100</v>
      </c>
      <c r="I95" s="7">
        <v>1562</v>
      </c>
      <c r="J95" s="9">
        <v>0</v>
      </c>
      <c r="K95" s="9">
        <v>0</v>
      </c>
      <c r="L95" s="9" t="s">
        <v>31</v>
      </c>
      <c r="M95" s="15">
        <f t="shared" si="2"/>
        <v>156200</v>
      </c>
      <c r="N95" s="19">
        <v>0</v>
      </c>
    </row>
    <row r="96" spans="1:14" x14ac:dyDescent="0.45">
      <c r="A96" s="4">
        <v>44413</v>
      </c>
      <c r="B96" s="4">
        <v>44418</v>
      </c>
      <c r="C96" s="5">
        <v>8802</v>
      </c>
      <c r="D96" s="9" t="s">
        <v>115</v>
      </c>
      <c r="E96" s="5" t="s">
        <v>67</v>
      </c>
      <c r="F96" s="5" t="s">
        <v>29</v>
      </c>
      <c r="G96" s="5" t="s">
        <v>41</v>
      </c>
      <c r="H96" s="5">
        <v>100</v>
      </c>
      <c r="I96" s="7">
        <v>1717</v>
      </c>
      <c r="J96" s="9">
        <v>199</v>
      </c>
      <c r="K96" s="9">
        <v>19</v>
      </c>
      <c r="L96" s="9" t="s">
        <v>90</v>
      </c>
      <c r="M96" s="15">
        <f t="shared" si="2"/>
        <v>171482</v>
      </c>
      <c r="N96" s="19">
        <v>-27518</v>
      </c>
    </row>
    <row r="97" spans="1:14" x14ac:dyDescent="0.45">
      <c r="A97" s="4">
        <v>44413</v>
      </c>
      <c r="B97" s="4">
        <v>44418</v>
      </c>
      <c r="C97" s="5">
        <v>9006</v>
      </c>
      <c r="D97" s="9" t="s">
        <v>117</v>
      </c>
      <c r="E97" s="5" t="s">
        <v>67</v>
      </c>
      <c r="F97" s="5" t="s">
        <v>29</v>
      </c>
      <c r="G97" s="5" t="s">
        <v>41</v>
      </c>
      <c r="H97" s="5">
        <v>100</v>
      </c>
      <c r="I97" s="7">
        <v>1274</v>
      </c>
      <c r="J97" s="9">
        <v>147</v>
      </c>
      <c r="K97" s="9">
        <v>14</v>
      </c>
      <c r="L97" s="9" t="s">
        <v>90</v>
      </c>
      <c r="M97" s="15">
        <f t="shared" si="2"/>
        <v>127239</v>
      </c>
      <c r="N97" s="19">
        <v>-25561</v>
      </c>
    </row>
    <row r="98" spans="1:14" x14ac:dyDescent="0.45">
      <c r="A98" s="4">
        <v>44413</v>
      </c>
      <c r="B98" s="4">
        <v>44418</v>
      </c>
      <c r="C98" s="5">
        <v>9101</v>
      </c>
      <c r="D98" s="9" t="s">
        <v>94</v>
      </c>
      <c r="E98" s="5" t="s">
        <v>67</v>
      </c>
      <c r="F98" s="5" t="s">
        <v>29</v>
      </c>
      <c r="G98" s="5" t="s">
        <v>30</v>
      </c>
      <c r="H98" s="5">
        <v>100</v>
      </c>
      <c r="I98" s="7">
        <v>7337</v>
      </c>
      <c r="J98" s="9">
        <v>850</v>
      </c>
      <c r="K98" s="9">
        <v>85</v>
      </c>
      <c r="L98" s="9" t="s">
        <v>31</v>
      </c>
      <c r="M98" s="15">
        <f t="shared" ref="M98:M129" si="3">IF(G98="買付",H98*I98+SUM(J98:K98),H98*I98-SUM(J98:K98))</f>
        <v>734635</v>
      </c>
      <c r="N98" s="19">
        <v>0</v>
      </c>
    </row>
    <row r="99" spans="1:14" x14ac:dyDescent="0.45">
      <c r="A99" s="4">
        <v>44413</v>
      </c>
      <c r="B99" s="4">
        <v>44418</v>
      </c>
      <c r="C99" s="5">
        <v>9104</v>
      </c>
      <c r="D99" s="9" t="s">
        <v>91</v>
      </c>
      <c r="E99" s="5" t="s">
        <v>67</v>
      </c>
      <c r="F99" s="5" t="s">
        <v>29</v>
      </c>
      <c r="G99" s="5" t="s">
        <v>30</v>
      </c>
      <c r="H99" s="5">
        <v>100</v>
      </c>
      <c r="I99" s="7">
        <v>6919</v>
      </c>
      <c r="J99" s="9">
        <v>804</v>
      </c>
      <c r="K99" s="9">
        <v>82</v>
      </c>
      <c r="L99" s="9" t="s">
        <v>31</v>
      </c>
      <c r="M99" s="15">
        <f t="shared" si="3"/>
        <v>692786</v>
      </c>
      <c r="N99" s="19">
        <v>0</v>
      </c>
    </row>
    <row r="100" spans="1:14" x14ac:dyDescent="0.45">
      <c r="A100" s="4">
        <v>44419</v>
      </c>
      <c r="B100" s="4">
        <v>44421</v>
      </c>
      <c r="C100" s="5">
        <v>2201</v>
      </c>
      <c r="D100" s="9" t="s">
        <v>76</v>
      </c>
      <c r="E100" s="5" t="s">
        <v>67</v>
      </c>
      <c r="F100" s="5" t="s">
        <v>29</v>
      </c>
      <c r="G100" s="5" t="s">
        <v>41</v>
      </c>
      <c r="H100" s="5">
        <v>100</v>
      </c>
      <c r="I100" s="7">
        <v>3595</v>
      </c>
      <c r="J100" s="9">
        <v>0</v>
      </c>
      <c r="K100" s="9">
        <v>0</v>
      </c>
      <c r="L100" s="9" t="s">
        <v>90</v>
      </c>
      <c r="M100" s="15">
        <f t="shared" si="3"/>
        <v>359500</v>
      </c>
      <c r="N100" s="19">
        <v>-3000</v>
      </c>
    </row>
    <row r="101" spans="1:14" x14ac:dyDescent="0.45">
      <c r="A101" s="4">
        <v>44425</v>
      </c>
      <c r="B101" s="4">
        <v>44427</v>
      </c>
      <c r="C101" s="5">
        <v>3395</v>
      </c>
      <c r="D101" s="9" t="s">
        <v>77</v>
      </c>
      <c r="E101" s="5" t="s">
        <v>67</v>
      </c>
      <c r="F101" s="5" t="s">
        <v>29</v>
      </c>
      <c r="G101" s="5" t="s">
        <v>41</v>
      </c>
      <c r="H101" s="5">
        <v>100</v>
      </c>
      <c r="I101" s="7">
        <v>1518.6</v>
      </c>
      <c r="J101" s="9">
        <v>0</v>
      </c>
      <c r="K101" s="9">
        <v>0</v>
      </c>
      <c r="L101" s="9" t="s">
        <v>90</v>
      </c>
      <c r="M101" s="15">
        <f t="shared" si="3"/>
        <v>151860</v>
      </c>
      <c r="N101" s="19">
        <v>-30440</v>
      </c>
    </row>
    <row r="102" spans="1:14" x14ac:dyDescent="0.45">
      <c r="A102" s="4">
        <v>44426</v>
      </c>
      <c r="B102" s="4">
        <v>44428</v>
      </c>
      <c r="C102" s="5">
        <v>9107</v>
      </c>
      <c r="D102" s="9" t="s">
        <v>92</v>
      </c>
      <c r="E102" s="5" t="s">
        <v>67</v>
      </c>
      <c r="F102" s="5" t="s">
        <v>29</v>
      </c>
      <c r="G102" s="5" t="s">
        <v>30</v>
      </c>
      <c r="H102" s="5">
        <v>100</v>
      </c>
      <c r="I102" s="7">
        <v>5200</v>
      </c>
      <c r="J102" s="9">
        <v>0</v>
      </c>
      <c r="K102" s="9">
        <v>0</v>
      </c>
      <c r="L102" s="9" t="s">
        <v>31</v>
      </c>
      <c r="M102" s="15">
        <f t="shared" si="3"/>
        <v>520000</v>
      </c>
      <c r="N102" s="19">
        <v>0</v>
      </c>
    </row>
    <row r="103" spans="1:14" x14ac:dyDescent="0.45">
      <c r="A103" s="4">
        <v>44426</v>
      </c>
      <c r="B103" s="4">
        <v>44428</v>
      </c>
      <c r="C103" s="5">
        <v>9308</v>
      </c>
      <c r="D103" s="9" t="s">
        <v>70</v>
      </c>
      <c r="E103" s="5" t="s">
        <v>67</v>
      </c>
      <c r="F103" s="5" t="s">
        <v>29</v>
      </c>
      <c r="G103" s="5" t="s">
        <v>41</v>
      </c>
      <c r="H103" s="5">
        <v>100</v>
      </c>
      <c r="I103" s="7">
        <v>2226.1999999999998</v>
      </c>
      <c r="J103" s="9">
        <v>0</v>
      </c>
      <c r="K103" s="9">
        <v>0</v>
      </c>
      <c r="L103" s="9" t="s">
        <v>90</v>
      </c>
      <c r="M103" s="15">
        <f t="shared" si="3"/>
        <v>222619.99999999997</v>
      </c>
      <c r="N103" s="19">
        <v>66420</v>
      </c>
    </row>
    <row r="104" spans="1:14" x14ac:dyDescent="0.45">
      <c r="A104" s="4">
        <v>44428</v>
      </c>
      <c r="B104" s="4">
        <v>44432</v>
      </c>
      <c r="C104" s="5">
        <v>9104</v>
      </c>
      <c r="D104" s="9" t="s">
        <v>91</v>
      </c>
      <c r="E104" s="5" t="s">
        <v>67</v>
      </c>
      <c r="F104" s="5" t="s">
        <v>29</v>
      </c>
      <c r="G104" s="5" t="s">
        <v>41</v>
      </c>
      <c r="H104" s="5">
        <v>100</v>
      </c>
      <c r="I104" s="7">
        <v>6850</v>
      </c>
      <c r="J104" s="9">
        <v>770</v>
      </c>
      <c r="K104" s="9">
        <v>77</v>
      </c>
      <c r="L104" s="9" t="s">
        <v>90</v>
      </c>
      <c r="M104" s="15">
        <f t="shared" si="3"/>
        <v>684153</v>
      </c>
      <c r="N104" s="19">
        <v>12760</v>
      </c>
    </row>
    <row r="105" spans="1:14" x14ac:dyDescent="0.45">
      <c r="A105" s="4">
        <v>44431</v>
      </c>
      <c r="B105" s="4">
        <v>44433</v>
      </c>
      <c r="C105" s="5">
        <v>9104</v>
      </c>
      <c r="D105" s="9" t="s">
        <v>91</v>
      </c>
      <c r="E105" s="5" t="s">
        <v>67</v>
      </c>
      <c r="F105" s="5" t="s">
        <v>29</v>
      </c>
      <c r="G105" s="5" t="s">
        <v>41</v>
      </c>
      <c r="H105" s="5">
        <v>100</v>
      </c>
      <c r="I105" s="7">
        <v>6860</v>
      </c>
      <c r="J105" s="9">
        <v>752</v>
      </c>
      <c r="K105" s="9">
        <v>76</v>
      </c>
      <c r="L105" s="9" t="s">
        <v>90</v>
      </c>
      <c r="M105" s="15">
        <f t="shared" si="3"/>
        <v>685172</v>
      </c>
      <c r="N105" s="19">
        <v>13779</v>
      </c>
    </row>
    <row r="106" spans="1:14" x14ac:dyDescent="0.45">
      <c r="A106" s="4">
        <v>44432</v>
      </c>
      <c r="B106" s="4">
        <v>44434</v>
      </c>
      <c r="C106" s="5">
        <v>7951</v>
      </c>
      <c r="D106" s="9" t="s">
        <v>122</v>
      </c>
      <c r="E106" s="5" t="s">
        <v>67</v>
      </c>
      <c r="F106" s="5" t="s">
        <v>29</v>
      </c>
      <c r="G106" s="5" t="s">
        <v>30</v>
      </c>
      <c r="H106" s="5">
        <v>100</v>
      </c>
      <c r="I106" s="7">
        <v>6370</v>
      </c>
      <c r="J106" s="9">
        <v>487</v>
      </c>
      <c r="K106" s="9">
        <v>48</v>
      </c>
      <c r="L106" s="9" t="s">
        <v>31</v>
      </c>
      <c r="M106" s="15">
        <f t="shared" si="3"/>
        <v>637535</v>
      </c>
      <c r="N106" s="19">
        <v>0</v>
      </c>
    </row>
    <row r="107" spans="1:14" x14ac:dyDescent="0.45">
      <c r="A107" s="4">
        <v>44433</v>
      </c>
      <c r="B107" s="4">
        <v>44435</v>
      </c>
      <c r="C107" s="5">
        <v>7951</v>
      </c>
      <c r="D107" s="9" t="s">
        <v>122</v>
      </c>
      <c r="E107" s="5" t="s">
        <v>67</v>
      </c>
      <c r="F107" s="5" t="s">
        <v>29</v>
      </c>
      <c r="G107" s="5" t="s">
        <v>41</v>
      </c>
      <c r="H107" s="5">
        <v>100</v>
      </c>
      <c r="I107" s="7">
        <v>6400</v>
      </c>
      <c r="J107" s="9">
        <v>664</v>
      </c>
      <c r="K107" s="9">
        <v>66</v>
      </c>
      <c r="L107" s="9" t="s">
        <v>90</v>
      </c>
      <c r="M107" s="15">
        <f t="shared" si="3"/>
        <v>639270</v>
      </c>
      <c r="N107" s="19">
        <v>1735</v>
      </c>
    </row>
    <row r="108" spans="1:14" x14ac:dyDescent="0.45">
      <c r="A108" s="4">
        <v>44433</v>
      </c>
      <c r="B108" s="4">
        <v>44435</v>
      </c>
      <c r="C108" s="5">
        <v>9101</v>
      </c>
      <c r="D108" s="9" t="s">
        <v>94</v>
      </c>
      <c r="E108" s="5" t="s">
        <v>67</v>
      </c>
      <c r="F108" s="5" t="s">
        <v>29</v>
      </c>
      <c r="G108" s="5" t="s">
        <v>41</v>
      </c>
      <c r="H108" s="5">
        <v>100</v>
      </c>
      <c r="I108" s="7">
        <v>7910</v>
      </c>
      <c r="J108" s="9">
        <v>821</v>
      </c>
      <c r="K108" s="9">
        <v>82</v>
      </c>
      <c r="L108" s="9" t="s">
        <v>90</v>
      </c>
      <c r="M108" s="15">
        <f t="shared" si="3"/>
        <v>790097</v>
      </c>
      <c r="N108" s="19">
        <v>55462</v>
      </c>
    </row>
    <row r="109" spans="1:14" x14ac:dyDescent="0.45">
      <c r="A109" s="4">
        <v>44433</v>
      </c>
      <c r="B109" s="4">
        <v>44435</v>
      </c>
      <c r="C109" s="5">
        <v>9107</v>
      </c>
      <c r="D109" s="9" t="s">
        <v>92</v>
      </c>
      <c r="E109" s="5" t="s">
        <v>67</v>
      </c>
      <c r="F109" s="5" t="s">
        <v>29</v>
      </c>
      <c r="G109" s="5" t="s">
        <v>41</v>
      </c>
      <c r="H109" s="5">
        <v>100</v>
      </c>
      <c r="I109" s="7">
        <v>4940</v>
      </c>
      <c r="J109" s="9">
        <v>515</v>
      </c>
      <c r="K109" s="9">
        <v>52</v>
      </c>
      <c r="L109" s="9" t="s">
        <v>90</v>
      </c>
      <c r="M109" s="15">
        <f t="shared" si="3"/>
        <v>493433</v>
      </c>
      <c r="N109" s="19" t="s">
        <v>170</v>
      </c>
    </row>
    <row r="110" spans="1:14" x14ac:dyDescent="0.45">
      <c r="A110" s="4">
        <v>44435</v>
      </c>
      <c r="B110" s="4">
        <v>44439</v>
      </c>
      <c r="C110" s="5">
        <v>9810</v>
      </c>
      <c r="D110" s="9" t="s">
        <v>74</v>
      </c>
      <c r="E110" s="5" t="s">
        <v>67</v>
      </c>
      <c r="F110" s="5" t="s">
        <v>29</v>
      </c>
      <c r="G110" s="5" t="s">
        <v>30</v>
      </c>
      <c r="H110" s="5">
        <v>100</v>
      </c>
      <c r="I110" s="7">
        <v>4830</v>
      </c>
      <c r="J110" s="9">
        <v>0</v>
      </c>
      <c r="K110" s="9">
        <v>0</v>
      </c>
      <c r="L110" s="9" t="s">
        <v>31</v>
      </c>
      <c r="M110" s="15">
        <f t="shared" si="3"/>
        <v>483000</v>
      </c>
      <c r="N110" s="19">
        <v>0</v>
      </c>
    </row>
    <row r="111" spans="1:14" x14ac:dyDescent="0.45">
      <c r="A111" s="4">
        <v>44438</v>
      </c>
      <c r="B111" s="4">
        <v>44440</v>
      </c>
      <c r="C111" s="5">
        <v>9810</v>
      </c>
      <c r="D111" s="9" t="s">
        <v>74</v>
      </c>
      <c r="E111" s="5" t="s">
        <v>67</v>
      </c>
      <c r="F111" s="5" t="s">
        <v>29</v>
      </c>
      <c r="G111" s="5" t="s">
        <v>41</v>
      </c>
      <c r="H111" s="5">
        <v>100</v>
      </c>
      <c r="I111" s="7">
        <v>4970</v>
      </c>
      <c r="J111" s="9">
        <v>0</v>
      </c>
      <c r="K111" s="9">
        <v>0</v>
      </c>
      <c r="L111" s="9" t="s">
        <v>90</v>
      </c>
      <c r="M111" s="15">
        <f t="shared" si="3"/>
        <v>497000</v>
      </c>
      <c r="N111" s="19">
        <v>14000</v>
      </c>
    </row>
    <row r="112" spans="1:14" x14ac:dyDescent="0.45">
      <c r="A112" s="4">
        <v>44439</v>
      </c>
      <c r="B112" s="4">
        <v>44441</v>
      </c>
      <c r="C112" s="5">
        <v>9104</v>
      </c>
      <c r="D112" s="9" t="s">
        <v>91</v>
      </c>
      <c r="E112" s="5" t="s">
        <v>67</v>
      </c>
      <c r="F112" s="5" t="s">
        <v>29</v>
      </c>
      <c r="G112" s="5" t="s">
        <v>30</v>
      </c>
      <c r="H112" s="5">
        <v>100</v>
      </c>
      <c r="I112" s="7">
        <v>8460</v>
      </c>
      <c r="J112" s="9">
        <v>0</v>
      </c>
      <c r="K112" s="9">
        <v>0</v>
      </c>
      <c r="L112" s="9" t="s">
        <v>31</v>
      </c>
      <c r="M112" s="15">
        <f t="shared" si="3"/>
        <v>846000</v>
      </c>
      <c r="N112" s="19">
        <v>0</v>
      </c>
    </row>
    <row r="113" spans="1:14" x14ac:dyDescent="0.45">
      <c r="A113" s="4">
        <v>44439</v>
      </c>
      <c r="B113" s="4">
        <v>44441</v>
      </c>
      <c r="C113" s="5">
        <v>9104</v>
      </c>
      <c r="D113" s="9" t="s">
        <v>91</v>
      </c>
      <c r="E113" s="5" t="s">
        <v>67</v>
      </c>
      <c r="F113" s="5" t="s">
        <v>29</v>
      </c>
      <c r="G113" s="5" t="s">
        <v>41</v>
      </c>
      <c r="H113" s="5">
        <v>100</v>
      </c>
      <c r="I113" s="7">
        <v>8540</v>
      </c>
      <c r="J113" s="9">
        <v>0</v>
      </c>
      <c r="K113" s="9">
        <v>0</v>
      </c>
      <c r="L113" s="9" t="s">
        <v>90</v>
      </c>
      <c r="M113" s="15">
        <f t="shared" si="3"/>
        <v>854000</v>
      </c>
      <c r="N113" s="19">
        <v>8000</v>
      </c>
    </row>
    <row r="114" spans="1:14" x14ac:dyDescent="0.45">
      <c r="A114" s="4">
        <v>44440</v>
      </c>
      <c r="B114" s="4">
        <v>44442</v>
      </c>
      <c r="C114" s="5">
        <v>9101</v>
      </c>
      <c r="D114" s="9" t="s">
        <v>94</v>
      </c>
      <c r="E114" s="5" t="s">
        <v>67</v>
      </c>
      <c r="F114" s="5" t="s">
        <v>29</v>
      </c>
      <c r="G114" s="5" t="s">
        <v>30</v>
      </c>
      <c r="H114" s="5">
        <v>100</v>
      </c>
      <c r="I114" s="7">
        <v>8930</v>
      </c>
      <c r="J114" s="9">
        <v>487</v>
      </c>
      <c r="K114" s="9">
        <v>48</v>
      </c>
      <c r="L114" s="9" t="s">
        <v>31</v>
      </c>
      <c r="M114" s="15">
        <f t="shared" si="3"/>
        <v>893535</v>
      </c>
      <c r="N114" s="19">
        <v>0</v>
      </c>
    </row>
    <row r="115" spans="1:14" x14ac:dyDescent="0.45">
      <c r="A115" s="4">
        <v>44440</v>
      </c>
      <c r="B115" s="4">
        <v>44442</v>
      </c>
      <c r="C115" s="5">
        <v>9104</v>
      </c>
      <c r="D115" s="9" t="s">
        <v>91</v>
      </c>
      <c r="E115" s="5" t="s">
        <v>67</v>
      </c>
      <c r="F115" s="5" t="s">
        <v>29</v>
      </c>
      <c r="G115" s="5" t="s">
        <v>30</v>
      </c>
      <c r="H115" s="5">
        <v>100</v>
      </c>
      <c r="I115" s="7">
        <v>8620</v>
      </c>
      <c r="J115" s="9">
        <v>487</v>
      </c>
      <c r="K115" s="9">
        <v>48</v>
      </c>
      <c r="L115" s="9" t="s">
        <v>31</v>
      </c>
      <c r="M115" s="15">
        <f t="shared" si="3"/>
        <v>862535</v>
      </c>
      <c r="N115" s="19">
        <v>0</v>
      </c>
    </row>
    <row r="116" spans="1:14" x14ac:dyDescent="0.45">
      <c r="A116" s="4">
        <v>44441</v>
      </c>
      <c r="B116" s="4">
        <v>44445</v>
      </c>
      <c r="C116" s="5">
        <v>3397</v>
      </c>
      <c r="D116" s="9" t="s">
        <v>110</v>
      </c>
      <c r="E116" s="5" t="s">
        <v>67</v>
      </c>
      <c r="F116" s="5" t="s">
        <v>29</v>
      </c>
      <c r="G116" s="5" t="s">
        <v>30</v>
      </c>
      <c r="H116" s="5">
        <v>100</v>
      </c>
      <c r="I116" s="7">
        <v>2320</v>
      </c>
      <c r="J116" s="9">
        <v>250</v>
      </c>
      <c r="K116" s="9">
        <v>25</v>
      </c>
      <c r="L116" s="9" t="s">
        <v>31</v>
      </c>
      <c r="M116" s="15">
        <f t="shared" si="3"/>
        <v>232275</v>
      </c>
      <c r="N116" s="19">
        <v>0</v>
      </c>
    </row>
    <row r="117" spans="1:14" x14ac:dyDescent="0.45">
      <c r="A117" s="4">
        <v>44445</v>
      </c>
      <c r="B117" s="4">
        <v>44447</v>
      </c>
      <c r="C117" s="5">
        <v>3397</v>
      </c>
      <c r="D117" s="9" t="s">
        <v>110</v>
      </c>
      <c r="E117" s="5" t="s">
        <v>67</v>
      </c>
      <c r="F117" s="5" t="s">
        <v>29</v>
      </c>
      <c r="G117" s="5" t="s">
        <v>41</v>
      </c>
      <c r="H117" s="5">
        <v>100</v>
      </c>
      <c r="I117" s="7">
        <v>2360.6</v>
      </c>
      <c r="J117" s="9">
        <v>252</v>
      </c>
      <c r="K117" s="9">
        <v>25</v>
      </c>
      <c r="L117" s="9" t="s">
        <v>90</v>
      </c>
      <c r="M117" s="15">
        <f t="shared" si="3"/>
        <v>235783</v>
      </c>
      <c r="N117" s="19">
        <v>3508</v>
      </c>
    </row>
    <row r="118" spans="1:14" x14ac:dyDescent="0.45">
      <c r="A118" s="4">
        <v>44445</v>
      </c>
      <c r="B118" s="4">
        <v>44447</v>
      </c>
      <c r="C118" s="5">
        <v>4507</v>
      </c>
      <c r="D118" s="9" t="s">
        <v>98</v>
      </c>
      <c r="E118" s="5" t="s">
        <v>67</v>
      </c>
      <c r="F118" s="5" t="s">
        <v>29</v>
      </c>
      <c r="G118" s="5" t="s">
        <v>30</v>
      </c>
      <c r="H118" s="5">
        <v>100</v>
      </c>
      <c r="I118" s="7">
        <v>7303</v>
      </c>
      <c r="J118" s="9">
        <v>784</v>
      </c>
      <c r="K118" s="9">
        <v>79</v>
      </c>
      <c r="L118" s="9" t="s">
        <v>31</v>
      </c>
      <c r="M118" s="15">
        <f t="shared" si="3"/>
        <v>731163</v>
      </c>
      <c r="N118" s="19">
        <v>0</v>
      </c>
    </row>
    <row r="119" spans="1:14" x14ac:dyDescent="0.45">
      <c r="A119" s="4">
        <v>44445</v>
      </c>
      <c r="B119" s="4">
        <v>44447</v>
      </c>
      <c r="C119" s="5">
        <v>9104</v>
      </c>
      <c r="D119" s="9" t="s">
        <v>91</v>
      </c>
      <c r="E119" s="5" t="s">
        <v>67</v>
      </c>
      <c r="F119" s="5" t="s">
        <v>29</v>
      </c>
      <c r="G119" s="5" t="s">
        <v>41</v>
      </c>
      <c r="H119" s="5">
        <v>100</v>
      </c>
      <c r="I119" s="7">
        <v>9000</v>
      </c>
      <c r="J119" s="9">
        <v>964</v>
      </c>
      <c r="K119" s="9">
        <v>96</v>
      </c>
      <c r="L119" s="9" t="s">
        <v>90</v>
      </c>
      <c r="M119" s="15">
        <f t="shared" si="3"/>
        <v>898940</v>
      </c>
      <c r="N119" s="19">
        <v>36405</v>
      </c>
    </row>
    <row r="120" spans="1:14" x14ac:dyDescent="0.45">
      <c r="A120" s="4">
        <v>44446</v>
      </c>
      <c r="B120" s="4">
        <v>44448</v>
      </c>
      <c r="C120" s="5">
        <v>3397</v>
      </c>
      <c r="D120" s="9" t="s">
        <v>110</v>
      </c>
      <c r="E120" s="5" t="s">
        <v>67</v>
      </c>
      <c r="F120" s="5" t="s">
        <v>29</v>
      </c>
      <c r="G120" s="5" t="s">
        <v>30</v>
      </c>
      <c r="H120" s="5">
        <v>100</v>
      </c>
      <c r="I120" s="7">
        <v>2370</v>
      </c>
      <c r="J120" s="9">
        <v>240</v>
      </c>
      <c r="K120" s="9">
        <v>24</v>
      </c>
      <c r="L120" s="9" t="s">
        <v>31</v>
      </c>
      <c r="M120" s="15">
        <f t="shared" si="3"/>
        <v>237264</v>
      </c>
      <c r="N120" s="19">
        <v>0</v>
      </c>
    </row>
    <row r="121" spans="1:14" x14ac:dyDescent="0.45">
      <c r="A121" s="4">
        <v>44446</v>
      </c>
      <c r="B121" s="4">
        <v>44448</v>
      </c>
      <c r="C121" s="5">
        <v>4507</v>
      </c>
      <c r="D121" s="9" t="s">
        <v>98</v>
      </c>
      <c r="E121" s="5" t="s">
        <v>67</v>
      </c>
      <c r="F121" s="5" t="s">
        <v>29</v>
      </c>
      <c r="G121" s="5" t="s">
        <v>41</v>
      </c>
      <c r="H121" s="5">
        <v>100</v>
      </c>
      <c r="I121" s="7">
        <v>7533</v>
      </c>
      <c r="J121" s="9">
        <v>764</v>
      </c>
      <c r="K121" s="9">
        <v>76</v>
      </c>
      <c r="L121" s="9" t="s">
        <v>90</v>
      </c>
      <c r="M121" s="15">
        <f t="shared" si="3"/>
        <v>752460</v>
      </c>
      <c r="N121" s="19">
        <v>21297</v>
      </c>
    </row>
    <row r="122" spans="1:14" x14ac:dyDescent="0.45">
      <c r="A122" s="4">
        <v>44446</v>
      </c>
      <c r="B122" s="4">
        <v>44448</v>
      </c>
      <c r="C122" s="5">
        <v>9101</v>
      </c>
      <c r="D122" s="9" t="s">
        <v>94</v>
      </c>
      <c r="E122" s="5" t="s">
        <v>67</v>
      </c>
      <c r="F122" s="5" t="s">
        <v>29</v>
      </c>
      <c r="G122" s="5" t="s">
        <v>30</v>
      </c>
      <c r="H122" s="5">
        <v>100</v>
      </c>
      <c r="I122" s="7">
        <v>9800</v>
      </c>
      <c r="J122" s="9">
        <v>996</v>
      </c>
      <c r="K122" s="9">
        <v>100</v>
      </c>
      <c r="L122" s="9" t="s">
        <v>31</v>
      </c>
      <c r="M122" s="15">
        <f t="shared" si="3"/>
        <v>981096</v>
      </c>
      <c r="N122" s="19">
        <v>0</v>
      </c>
    </row>
    <row r="123" spans="1:14" x14ac:dyDescent="0.45">
      <c r="A123" s="4">
        <v>44446</v>
      </c>
      <c r="B123" s="4">
        <v>44448</v>
      </c>
      <c r="C123" s="5">
        <v>9101</v>
      </c>
      <c r="D123" s="9" t="s">
        <v>94</v>
      </c>
      <c r="E123" s="5" t="s">
        <v>67</v>
      </c>
      <c r="F123" s="5" t="s">
        <v>29</v>
      </c>
      <c r="G123" s="5" t="s">
        <v>41</v>
      </c>
      <c r="H123" s="5">
        <v>100</v>
      </c>
      <c r="I123" s="7">
        <v>9593</v>
      </c>
      <c r="J123" s="9">
        <v>0</v>
      </c>
      <c r="K123" s="9">
        <v>0</v>
      </c>
      <c r="L123" s="9" t="s">
        <v>90</v>
      </c>
      <c r="M123" s="15">
        <f t="shared" si="3"/>
        <v>959300</v>
      </c>
      <c r="N123" s="19">
        <v>65765</v>
      </c>
    </row>
    <row r="124" spans="1:14" x14ac:dyDescent="0.45">
      <c r="A124" s="4">
        <v>44447</v>
      </c>
      <c r="B124" s="4">
        <v>44449</v>
      </c>
      <c r="C124" s="5">
        <v>3397</v>
      </c>
      <c r="D124" s="9" t="s">
        <v>110</v>
      </c>
      <c r="E124" s="5" t="s">
        <v>67</v>
      </c>
      <c r="F124" s="5" t="s">
        <v>29</v>
      </c>
      <c r="G124" s="5" t="s">
        <v>41</v>
      </c>
      <c r="H124" s="5">
        <v>100</v>
      </c>
      <c r="I124" s="7">
        <v>2395</v>
      </c>
      <c r="J124" s="9">
        <v>250</v>
      </c>
      <c r="K124" s="9">
        <v>25</v>
      </c>
      <c r="L124" s="9" t="s">
        <v>90</v>
      </c>
      <c r="M124" s="15">
        <f t="shared" si="3"/>
        <v>239225</v>
      </c>
      <c r="N124" s="19">
        <v>1961</v>
      </c>
    </row>
    <row r="125" spans="1:14" x14ac:dyDescent="0.45">
      <c r="A125" s="4">
        <v>44447</v>
      </c>
      <c r="B125" s="4">
        <v>44449</v>
      </c>
      <c r="C125" s="5">
        <v>9308</v>
      </c>
      <c r="D125" s="9" t="s">
        <v>70</v>
      </c>
      <c r="E125" s="5" t="s">
        <v>67</v>
      </c>
      <c r="F125" s="5" t="s">
        <v>29</v>
      </c>
      <c r="G125" s="5" t="s">
        <v>30</v>
      </c>
      <c r="H125" s="5">
        <v>100</v>
      </c>
      <c r="I125" s="7">
        <v>2410</v>
      </c>
      <c r="J125" s="9">
        <v>250</v>
      </c>
      <c r="K125" s="9">
        <v>25</v>
      </c>
      <c r="L125" s="9" t="s">
        <v>31</v>
      </c>
      <c r="M125" s="15">
        <f t="shared" si="3"/>
        <v>241275</v>
      </c>
      <c r="N125" s="19">
        <v>0</v>
      </c>
    </row>
    <row r="126" spans="1:14" x14ac:dyDescent="0.45">
      <c r="A126" s="4">
        <v>44447</v>
      </c>
      <c r="B126" s="4">
        <v>44449</v>
      </c>
      <c r="C126" s="5">
        <v>9308</v>
      </c>
      <c r="D126" s="9" t="s">
        <v>70</v>
      </c>
      <c r="E126" s="5" t="s">
        <v>67</v>
      </c>
      <c r="F126" s="5" t="s">
        <v>29</v>
      </c>
      <c r="G126" s="5" t="s">
        <v>41</v>
      </c>
      <c r="H126" s="5">
        <v>100</v>
      </c>
      <c r="I126" s="7">
        <v>2425</v>
      </c>
      <c r="J126" s="9">
        <v>250</v>
      </c>
      <c r="K126" s="9">
        <v>25</v>
      </c>
      <c r="L126" s="9" t="s">
        <v>90</v>
      </c>
      <c r="M126" s="15">
        <f t="shared" si="3"/>
        <v>242225</v>
      </c>
      <c r="N126" s="19">
        <v>950</v>
      </c>
    </row>
    <row r="127" spans="1:14" x14ac:dyDescent="0.45">
      <c r="A127" s="4">
        <v>44447</v>
      </c>
      <c r="B127" s="4">
        <v>44449</v>
      </c>
      <c r="C127" s="5">
        <v>9984</v>
      </c>
      <c r="D127" s="9" t="s">
        <v>93</v>
      </c>
      <c r="E127" s="5" t="s">
        <v>67</v>
      </c>
      <c r="F127" s="5" t="s">
        <v>29</v>
      </c>
      <c r="G127" s="5" t="s">
        <v>30</v>
      </c>
      <c r="H127" s="5">
        <v>100</v>
      </c>
      <c r="I127" s="7">
        <v>7490</v>
      </c>
      <c r="J127" s="9">
        <v>487</v>
      </c>
      <c r="K127" s="9">
        <v>48</v>
      </c>
      <c r="L127" s="9" t="s">
        <v>31</v>
      </c>
      <c r="M127" s="15">
        <f t="shared" si="3"/>
        <v>749535</v>
      </c>
      <c r="N127" s="19">
        <v>0</v>
      </c>
    </row>
    <row r="128" spans="1:14" x14ac:dyDescent="0.45">
      <c r="A128" s="4">
        <v>44447</v>
      </c>
      <c r="B128" s="4">
        <v>44449</v>
      </c>
      <c r="C128" s="5">
        <v>9984</v>
      </c>
      <c r="D128" s="9" t="s">
        <v>93</v>
      </c>
      <c r="E128" s="5" t="s">
        <v>67</v>
      </c>
      <c r="F128" s="5" t="s">
        <v>29</v>
      </c>
      <c r="G128" s="5" t="s">
        <v>41</v>
      </c>
      <c r="H128" s="5">
        <v>100</v>
      </c>
      <c r="I128" s="7">
        <v>7270</v>
      </c>
      <c r="J128" s="9">
        <v>487</v>
      </c>
      <c r="K128" s="9">
        <v>48</v>
      </c>
      <c r="L128" s="9" t="s">
        <v>90</v>
      </c>
      <c r="M128" s="15">
        <f t="shared" si="3"/>
        <v>726465</v>
      </c>
      <c r="N128" s="19">
        <v>-23070</v>
      </c>
    </row>
    <row r="129" spans="1:14" x14ac:dyDescent="0.45">
      <c r="A129" s="4">
        <v>44448</v>
      </c>
      <c r="B129" s="4">
        <v>44452</v>
      </c>
      <c r="C129" s="5">
        <v>4507</v>
      </c>
      <c r="D129" s="9" t="s">
        <v>98</v>
      </c>
      <c r="E129" s="5" t="s">
        <v>67</v>
      </c>
      <c r="F129" s="5" t="s">
        <v>29</v>
      </c>
      <c r="G129" s="5" t="s">
        <v>30</v>
      </c>
      <c r="H129" s="5">
        <v>100</v>
      </c>
      <c r="I129" s="7">
        <v>7400</v>
      </c>
      <c r="J129" s="9">
        <v>487</v>
      </c>
      <c r="K129" s="9">
        <v>48</v>
      </c>
      <c r="L129" s="9" t="s">
        <v>31</v>
      </c>
      <c r="M129" s="15">
        <f t="shared" si="3"/>
        <v>740535</v>
      </c>
      <c r="N129" s="19">
        <v>0</v>
      </c>
    </row>
    <row r="130" spans="1:14" x14ac:dyDescent="0.45">
      <c r="A130" s="4">
        <v>44448</v>
      </c>
      <c r="B130" s="4">
        <v>44452</v>
      </c>
      <c r="C130" s="5">
        <v>9104</v>
      </c>
      <c r="D130" s="9" t="s">
        <v>91</v>
      </c>
      <c r="E130" s="5" t="s">
        <v>67</v>
      </c>
      <c r="F130" s="5" t="s">
        <v>29</v>
      </c>
      <c r="G130" s="5" t="s">
        <v>30</v>
      </c>
      <c r="H130" s="5">
        <v>100</v>
      </c>
      <c r="I130" s="7">
        <v>8950</v>
      </c>
      <c r="J130" s="9">
        <v>487</v>
      </c>
      <c r="K130" s="9">
        <v>48</v>
      </c>
      <c r="L130" s="9" t="s">
        <v>31</v>
      </c>
      <c r="M130" s="15">
        <f t="shared" ref="M130:M164" si="4">IF(G130="買付",H130*I130+SUM(J130:K130),H130*I130-SUM(J130:K130))</f>
        <v>895535</v>
      </c>
      <c r="N130" s="19">
        <v>0</v>
      </c>
    </row>
    <row r="131" spans="1:14" x14ac:dyDescent="0.45">
      <c r="A131" s="4">
        <v>44448</v>
      </c>
      <c r="B131" s="4">
        <v>44452</v>
      </c>
      <c r="C131" s="5">
        <v>9308</v>
      </c>
      <c r="D131" s="9" t="s">
        <v>70</v>
      </c>
      <c r="E131" s="5" t="s">
        <v>67</v>
      </c>
      <c r="F131" s="5" t="s">
        <v>29</v>
      </c>
      <c r="G131" s="5" t="s">
        <v>30</v>
      </c>
      <c r="H131" s="5">
        <v>100</v>
      </c>
      <c r="I131" s="7">
        <v>2445</v>
      </c>
      <c r="J131" s="9">
        <v>250</v>
      </c>
      <c r="K131" s="9">
        <v>25</v>
      </c>
      <c r="L131" s="9" t="s">
        <v>31</v>
      </c>
      <c r="M131" s="15">
        <f t="shared" si="4"/>
        <v>244775</v>
      </c>
      <c r="N131" s="19">
        <v>0</v>
      </c>
    </row>
    <row r="132" spans="1:14" x14ac:dyDescent="0.45">
      <c r="A132" s="4">
        <v>44449</v>
      </c>
      <c r="B132" s="4">
        <v>44453</v>
      </c>
      <c r="C132" s="5">
        <v>3397</v>
      </c>
      <c r="D132" s="9" t="s">
        <v>110</v>
      </c>
      <c r="E132" s="5" t="s">
        <v>67</v>
      </c>
      <c r="F132" s="5" t="s">
        <v>29</v>
      </c>
      <c r="G132" s="5" t="s">
        <v>30</v>
      </c>
      <c r="H132" s="5">
        <v>100</v>
      </c>
      <c r="I132" s="7">
        <v>2530</v>
      </c>
      <c r="J132" s="9">
        <v>250</v>
      </c>
      <c r="K132" s="9">
        <v>25</v>
      </c>
      <c r="L132" s="9" t="s">
        <v>31</v>
      </c>
      <c r="M132" s="15">
        <f t="shared" si="4"/>
        <v>253275</v>
      </c>
      <c r="N132" s="19">
        <v>0</v>
      </c>
    </row>
    <row r="133" spans="1:14" x14ac:dyDescent="0.45">
      <c r="A133" s="4">
        <v>44453</v>
      </c>
      <c r="B133" s="4">
        <v>44455</v>
      </c>
      <c r="C133" s="5">
        <v>9308</v>
      </c>
      <c r="D133" s="9" t="s">
        <v>70</v>
      </c>
      <c r="E133" s="5" t="s">
        <v>67</v>
      </c>
      <c r="F133" s="5" t="s">
        <v>29</v>
      </c>
      <c r="G133" s="5" t="s">
        <v>41</v>
      </c>
      <c r="H133" s="5">
        <v>100</v>
      </c>
      <c r="I133" s="7">
        <v>2490</v>
      </c>
      <c r="J133" s="9">
        <v>250</v>
      </c>
      <c r="K133" s="9">
        <v>25</v>
      </c>
      <c r="L133" s="9" t="s">
        <v>90</v>
      </c>
      <c r="M133" s="15">
        <f t="shared" si="4"/>
        <v>248725</v>
      </c>
      <c r="N133" s="19">
        <v>3950</v>
      </c>
    </row>
    <row r="134" spans="1:14" x14ac:dyDescent="0.45">
      <c r="A134" s="4">
        <v>44454</v>
      </c>
      <c r="B134" s="4">
        <v>44456</v>
      </c>
      <c r="C134" s="5">
        <v>9810</v>
      </c>
      <c r="D134" s="9" t="s">
        <v>74</v>
      </c>
      <c r="E134" s="5" t="s">
        <v>67</v>
      </c>
      <c r="F134" s="5" t="s">
        <v>29</v>
      </c>
      <c r="G134" s="5" t="s">
        <v>30</v>
      </c>
      <c r="H134" s="5">
        <v>100</v>
      </c>
      <c r="I134" s="7">
        <v>5480</v>
      </c>
      <c r="J134" s="9">
        <v>487</v>
      </c>
      <c r="K134" s="9">
        <v>48</v>
      </c>
      <c r="L134" s="9" t="s">
        <v>31</v>
      </c>
      <c r="M134" s="15">
        <f t="shared" si="4"/>
        <v>548535</v>
      </c>
      <c r="N134" s="19">
        <v>0</v>
      </c>
    </row>
    <row r="135" spans="1:14" x14ac:dyDescent="0.45">
      <c r="A135" s="4">
        <v>44455</v>
      </c>
      <c r="B135" s="4">
        <v>44460</v>
      </c>
      <c r="C135" s="5">
        <v>4507</v>
      </c>
      <c r="D135" s="9" t="s">
        <v>98</v>
      </c>
      <c r="E135" s="5" t="s">
        <v>67</v>
      </c>
      <c r="F135" s="5" t="s">
        <v>29</v>
      </c>
      <c r="G135" s="5" t="s">
        <v>41</v>
      </c>
      <c r="H135" s="5">
        <v>100</v>
      </c>
      <c r="I135" s="7">
        <v>7480</v>
      </c>
      <c r="J135" s="9">
        <v>487</v>
      </c>
      <c r="K135" s="9">
        <v>48</v>
      </c>
      <c r="L135" s="9" t="s">
        <v>90</v>
      </c>
      <c r="M135" s="15">
        <f t="shared" si="4"/>
        <v>747465</v>
      </c>
      <c r="N135" s="19">
        <v>6930</v>
      </c>
    </row>
    <row r="136" spans="1:14" x14ac:dyDescent="0.45">
      <c r="A136" s="4">
        <v>44456</v>
      </c>
      <c r="B136" s="4">
        <v>44461</v>
      </c>
      <c r="C136" s="5">
        <v>2269</v>
      </c>
      <c r="D136" s="9" t="s">
        <v>73</v>
      </c>
      <c r="E136" s="5" t="s">
        <v>67</v>
      </c>
      <c r="F136" s="5" t="s">
        <v>29</v>
      </c>
      <c r="G136" s="5" t="s">
        <v>30</v>
      </c>
      <c r="H136" s="5">
        <v>100</v>
      </c>
      <c r="I136" s="7">
        <v>7420</v>
      </c>
      <c r="J136" s="9">
        <v>487</v>
      </c>
      <c r="K136" s="9">
        <v>48</v>
      </c>
      <c r="L136" s="9" t="s">
        <v>31</v>
      </c>
      <c r="M136" s="15">
        <f t="shared" si="4"/>
        <v>742535</v>
      </c>
      <c r="N136" s="19">
        <v>0</v>
      </c>
    </row>
    <row r="137" spans="1:14" x14ac:dyDescent="0.45">
      <c r="A137" s="4">
        <v>44463</v>
      </c>
      <c r="B137" s="4">
        <v>44467</v>
      </c>
      <c r="C137" s="5">
        <v>3397</v>
      </c>
      <c r="D137" s="9" t="s">
        <v>110</v>
      </c>
      <c r="E137" s="5" t="s">
        <v>67</v>
      </c>
      <c r="F137" s="5" t="s">
        <v>29</v>
      </c>
      <c r="G137" s="5" t="s">
        <v>41</v>
      </c>
      <c r="H137" s="5">
        <v>100</v>
      </c>
      <c r="I137" s="7">
        <v>2616</v>
      </c>
      <c r="J137" s="9">
        <v>250</v>
      </c>
      <c r="K137" s="9">
        <v>25</v>
      </c>
      <c r="L137" s="9" t="s">
        <v>90</v>
      </c>
      <c r="M137" s="15">
        <f t="shared" si="4"/>
        <v>261325</v>
      </c>
      <c r="N137" s="19">
        <v>8050</v>
      </c>
    </row>
    <row r="138" spans="1:14" x14ac:dyDescent="0.45">
      <c r="A138" s="4">
        <v>44463</v>
      </c>
      <c r="B138" s="4">
        <v>44467</v>
      </c>
      <c r="C138" s="5">
        <v>9104</v>
      </c>
      <c r="D138" s="9" t="s">
        <v>91</v>
      </c>
      <c r="E138" s="5" t="s">
        <v>67</v>
      </c>
      <c r="F138" s="5" t="s">
        <v>29</v>
      </c>
      <c r="G138" s="5" t="s">
        <v>41</v>
      </c>
      <c r="H138" s="5">
        <v>100</v>
      </c>
      <c r="I138" s="7">
        <v>9750</v>
      </c>
      <c r="J138" s="9">
        <v>487</v>
      </c>
      <c r="K138" s="9">
        <v>48</v>
      </c>
      <c r="L138" s="9" t="s">
        <v>90</v>
      </c>
      <c r="M138" s="15">
        <f t="shared" si="4"/>
        <v>974465</v>
      </c>
      <c r="N138" s="19">
        <v>78930</v>
      </c>
    </row>
    <row r="139" spans="1:14" x14ac:dyDescent="0.45">
      <c r="A139" s="4">
        <v>44466</v>
      </c>
      <c r="B139" s="4">
        <v>44468</v>
      </c>
      <c r="C139" s="5">
        <v>9101</v>
      </c>
      <c r="D139" s="9" t="s">
        <v>94</v>
      </c>
      <c r="E139" s="5" t="s">
        <v>67</v>
      </c>
      <c r="F139" s="5" t="s">
        <v>29</v>
      </c>
      <c r="G139" s="5" t="s">
        <v>41</v>
      </c>
      <c r="H139" s="5">
        <v>100</v>
      </c>
      <c r="I139" s="7">
        <v>10550</v>
      </c>
      <c r="J139" s="9">
        <v>582</v>
      </c>
      <c r="K139" s="9">
        <v>58</v>
      </c>
      <c r="L139" s="9" t="s">
        <v>90</v>
      </c>
      <c r="M139" s="15">
        <f t="shared" si="4"/>
        <v>1054360</v>
      </c>
      <c r="N139" s="19">
        <v>73264</v>
      </c>
    </row>
    <row r="140" spans="1:14" x14ac:dyDescent="0.45">
      <c r="A140" s="4">
        <v>44468</v>
      </c>
      <c r="B140" s="4">
        <v>44470</v>
      </c>
      <c r="C140" s="5">
        <v>3397</v>
      </c>
      <c r="D140" s="9" t="s">
        <v>110</v>
      </c>
      <c r="E140" s="5" t="s">
        <v>67</v>
      </c>
      <c r="F140" s="5" t="s">
        <v>29</v>
      </c>
      <c r="G140" s="5" t="s">
        <v>30</v>
      </c>
      <c r="H140" s="5">
        <v>100</v>
      </c>
      <c r="I140" s="7">
        <v>2645</v>
      </c>
      <c r="J140" s="9">
        <v>250</v>
      </c>
      <c r="K140" s="9">
        <v>25</v>
      </c>
      <c r="L140" s="9" t="s">
        <v>31</v>
      </c>
      <c r="M140" s="15">
        <f t="shared" si="4"/>
        <v>264775</v>
      </c>
      <c r="N140" s="19">
        <v>0</v>
      </c>
    </row>
    <row r="141" spans="1:14" x14ac:dyDescent="0.45">
      <c r="A141" s="4">
        <v>44468</v>
      </c>
      <c r="B141" s="4">
        <v>44470</v>
      </c>
      <c r="C141" s="5">
        <v>9101</v>
      </c>
      <c r="D141" s="9" t="s">
        <v>94</v>
      </c>
      <c r="E141" s="5" t="s">
        <v>67</v>
      </c>
      <c r="F141" s="5" t="s">
        <v>29</v>
      </c>
      <c r="G141" s="5" t="s">
        <v>30</v>
      </c>
      <c r="H141" s="5">
        <v>100</v>
      </c>
      <c r="I141" s="7">
        <v>9340</v>
      </c>
      <c r="J141" s="9">
        <v>487</v>
      </c>
      <c r="K141" s="9">
        <v>48</v>
      </c>
      <c r="L141" s="9" t="s">
        <v>31</v>
      </c>
      <c r="M141" s="15">
        <f t="shared" si="4"/>
        <v>934535</v>
      </c>
      <c r="N141" s="19">
        <v>0</v>
      </c>
    </row>
    <row r="142" spans="1:14" x14ac:dyDescent="0.45">
      <c r="A142" s="4">
        <v>44469</v>
      </c>
      <c r="B142" s="4">
        <v>44473</v>
      </c>
      <c r="C142" s="5">
        <v>3397</v>
      </c>
      <c r="D142" s="9" t="s">
        <v>110</v>
      </c>
      <c r="E142" s="5" t="s">
        <v>67</v>
      </c>
      <c r="F142" s="5" t="s">
        <v>29</v>
      </c>
      <c r="G142" s="5" t="s">
        <v>30</v>
      </c>
      <c r="H142" s="5">
        <v>100</v>
      </c>
      <c r="I142" s="7">
        <v>2792</v>
      </c>
      <c r="J142" s="9">
        <v>250</v>
      </c>
      <c r="K142" s="9">
        <v>25</v>
      </c>
      <c r="L142" s="9" t="s">
        <v>31</v>
      </c>
      <c r="M142" s="15">
        <f t="shared" si="4"/>
        <v>279475</v>
      </c>
      <c r="N142" s="19">
        <v>0</v>
      </c>
    </row>
    <row r="143" spans="1:14" x14ac:dyDescent="0.45">
      <c r="A143" s="4">
        <v>44469</v>
      </c>
      <c r="B143" s="4">
        <v>44473</v>
      </c>
      <c r="C143" s="5">
        <v>3397</v>
      </c>
      <c r="D143" s="9" t="s">
        <v>110</v>
      </c>
      <c r="E143" s="5" t="s">
        <v>67</v>
      </c>
      <c r="F143" s="5" t="s">
        <v>29</v>
      </c>
      <c r="G143" s="5" t="s">
        <v>41</v>
      </c>
      <c r="H143" s="5">
        <v>100</v>
      </c>
      <c r="I143" s="7">
        <v>2690</v>
      </c>
      <c r="J143" s="9">
        <v>250</v>
      </c>
      <c r="K143" s="9">
        <v>25</v>
      </c>
      <c r="L143" s="9" t="s">
        <v>90</v>
      </c>
      <c r="M143" s="15">
        <f t="shared" si="4"/>
        <v>268725</v>
      </c>
      <c r="N143" s="19">
        <v>3950</v>
      </c>
    </row>
    <row r="144" spans="1:14" x14ac:dyDescent="0.45">
      <c r="A144" s="4">
        <v>44469</v>
      </c>
      <c r="B144" s="4">
        <v>44473</v>
      </c>
      <c r="C144" s="5">
        <v>9020</v>
      </c>
      <c r="D144" s="9" t="s">
        <v>123</v>
      </c>
      <c r="E144" s="5" t="s">
        <v>67</v>
      </c>
      <c r="F144" s="5" t="s">
        <v>29</v>
      </c>
      <c r="G144" s="5" t="s">
        <v>30</v>
      </c>
      <c r="H144" s="5">
        <v>100</v>
      </c>
      <c r="I144" s="7">
        <v>7828.8</v>
      </c>
      <c r="J144" s="9">
        <v>487</v>
      </c>
      <c r="K144" s="9">
        <v>48</v>
      </c>
      <c r="L144" s="9" t="s">
        <v>31</v>
      </c>
      <c r="M144" s="15">
        <f t="shared" si="4"/>
        <v>783415</v>
      </c>
      <c r="N144" s="19">
        <v>0</v>
      </c>
    </row>
    <row r="145" spans="1:14" x14ac:dyDescent="0.45">
      <c r="A145" s="4">
        <v>44473</v>
      </c>
      <c r="B145" s="4">
        <v>44475</v>
      </c>
      <c r="C145" s="5">
        <v>9101</v>
      </c>
      <c r="D145" s="9" t="s">
        <v>94</v>
      </c>
      <c r="E145" s="5" t="s">
        <v>67</v>
      </c>
      <c r="F145" s="5" t="s">
        <v>29</v>
      </c>
      <c r="G145" s="5" t="s">
        <v>41</v>
      </c>
      <c r="H145" s="5">
        <v>100</v>
      </c>
      <c r="I145" s="7">
        <v>7824</v>
      </c>
      <c r="J145" s="9">
        <v>487</v>
      </c>
      <c r="K145" s="9">
        <v>48</v>
      </c>
      <c r="L145" s="9" t="s">
        <v>90</v>
      </c>
      <c r="M145" s="15">
        <f t="shared" si="4"/>
        <v>781865</v>
      </c>
      <c r="N145" s="19">
        <v>-152670</v>
      </c>
    </row>
    <row r="146" spans="1:14" x14ac:dyDescent="0.45">
      <c r="A146" s="4">
        <v>44480</v>
      </c>
      <c r="B146" s="4">
        <v>44482</v>
      </c>
      <c r="C146" s="5">
        <v>6971</v>
      </c>
      <c r="D146" s="9" t="s">
        <v>124</v>
      </c>
      <c r="E146" s="5" t="s">
        <v>67</v>
      </c>
      <c r="F146" s="5" t="s">
        <v>29</v>
      </c>
      <c r="G146" s="5" t="s">
        <v>30</v>
      </c>
      <c r="H146" s="5">
        <v>100</v>
      </c>
      <c r="I146" s="7">
        <v>6710</v>
      </c>
      <c r="J146" s="9">
        <v>487</v>
      </c>
      <c r="K146" s="9">
        <v>48</v>
      </c>
      <c r="L146" s="9" t="s">
        <v>31</v>
      </c>
      <c r="M146" s="15">
        <f t="shared" si="4"/>
        <v>671535</v>
      </c>
      <c r="N146" s="19">
        <v>0</v>
      </c>
    </row>
    <row r="147" spans="1:14" x14ac:dyDescent="0.45">
      <c r="A147" s="4">
        <v>44484</v>
      </c>
      <c r="B147" s="4">
        <v>44488</v>
      </c>
      <c r="C147" s="5">
        <v>6971</v>
      </c>
      <c r="D147" s="9" t="s">
        <v>124</v>
      </c>
      <c r="E147" s="5" t="s">
        <v>67</v>
      </c>
      <c r="F147" s="5" t="s">
        <v>29</v>
      </c>
      <c r="G147" s="5" t="s">
        <v>41</v>
      </c>
      <c r="H147" s="5">
        <v>100</v>
      </c>
      <c r="I147" s="7">
        <v>6728</v>
      </c>
      <c r="J147" s="9">
        <v>487</v>
      </c>
      <c r="K147" s="9">
        <v>48</v>
      </c>
      <c r="L147" s="9" t="s">
        <v>90</v>
      </c>
      <c r="M147" s="15">
        <f t="shared" si="4"/>
        <v>672265</v>
      </c>
      <c r="N147" s="19">
        <v>730</v>
      </c>
    </row>
    <row r="148" spans="1:14" x14ac:dyDescent="0.45">
      <c r="A148" s="4">
        <v>44489</v>
      </c>
      <c r="B148" s="4">
        <v>44491</v>
      </c>
      <c r="C148" s="5">
        <v>3397</v>
      </c>
      <c r="D148" s="9" t="s">
        <v>110</v>
      </c>
      <c r="E148" s="5" t="s">
        <v>67</v>
      </c>
      <c r="F148" s="5" t="s">
        <v>29</v>
      </c>
      <c r="G148" s="5" t="s">
        <v>41</v>
      </c>
      <c r="H148" s="5">
        <v>100</v>
      </c>
      <c r="I148" s="7">
        <v>2812</v>
      </c>
      <c r="J148" s="9">
        <v>250</v>
      </c>
      <c r="K148" s="9">
        <v>25</v>
      </c>
      <c r="L148" s="9" t="s">
        <v>90</v>
      </c>
      <c r="M148" s="15">
        <f t="shared" si="4"/>
        <v>280925</v>
      </c>
      <c r="N148" s="19">
        <v>1450</v>
      </c>
    </row>
    <row r="149" spans="1:14" x14ac:dyDescent="0.45">
      <c r="A149" s="4">
        <v>44504</v>
      </c>
      <c r="B149" s="4">
        <v>44508</v>
      </c>
      <c r="C149" s="5">
        <v>9104</v>
      </c>
      <c r="D149" s="9" t="s">
        <v>91</v>
      </c>
      <c r="E149" s="5" t="s">
        <v>67</v>
      </c>
      <c r="F149" s="5" t="s">
        <v>29</v>
      </c>
      <c r="G149" s="5" t="s">
        <v>30</v>
      </c>
      <c r="H149" s="5">
        <v>100</v>
      </c>
      <c r="I149" s="7">
        <v>7635</v>
      </c>
      <c r="J149" s="9">
        <v>487</v>
      </c>
      <c r="K149" s="9">
        <v>48</v>
      </c>
      <c r="L149" s="9" t="s">
        <v>31</v>
      </c>
      <c r="M149" s="15">
        <f t="shared" si="4"/>
        <v>764035</v>
      </c>
      <c r="N149" s="19">
        <v>0</v>
      </c>
    </row>
    <row r="150" spans="1:14" x14ac:dyDescent="0.45">
      <c r="A150" s="4">
        <v>44504</v>
      </c>
      <c r="B150" s="4">
        <v>44508</v>
      </c>
      <c r="C150" s="5">
        <v>9202</v>
      </c>
      <c r="D150" s="9" t="s">
        <v>120</v>
      </c>
      <c r="E150" s="5" t="s">
        <v>67</v>
      </c>
      <c r="F150" s="5" t="s">
        <v>29</v>
      </c>
      <c r="G150" s="5" t="s">
        <v>30</v>
      </c>
      <c r="H150" s="5">
        <v>100</v>
      </c>
      <c r="I150" s="7">
        <v>2775</v>
      </c>
      <c r="J150" s="9">
        <v>250</v>
      </c>
      <c r="K150" s="9">
        <v>25</v>
      </c>
      <c r="L150" s="9" t="s">
        <v>31</v>
      </c>
      <c r="M150" s="15">
        <f t="shared" si="4"/>
        <v>277775</v>
      </c>
      <c r="N150" s="19">
        <v>0</v>
      </c>
    </row>
    <row r="151" spans="1:14" x14ac:dyDescent="0.45">
      <c r="A151" s="4">
        <v>44554</v>
      </c>
      <c r="B151" s="4">
        <v>44558</v>
      </c>
      <c r="C151" s="5">
        <v>9810</v>
      </c>
      <c r="D151" s="9" t="s">
        <v>74</v>
      </c>
      <c r="E151" s="5" t="s">
        <v>67</v>
      </c>
      <c r="F151" s="5" t="s">
        <v>29</v>
      </c>
      <c r="G151" s="5" t="s">
        <v>30</v>
      </c>
      <c r="H151" s="5">
        <v>100</v>
      </c>
      <c r="I151" s="7">
        <v>4920</v>
      </c>
      <c r="J151" s="9">
        <v>0</v>
      </c>
      <c r="K151" s="9">
        <v>0</v>
      </c>
      <c r="L151" s="9" t="s">
        <v>31</v>
      </c>
      <c r="M151" s="15">
        <f t="shared" si="4"/>
        <v>492000</v>
      </c>
      <c r="N151" s="19">
        <v>0</v>
      </c>
    </row>
    <row r="152" spans="1:14" x14ac:dyDescent="0.45">
      <c r="A152" s="4">
        <v>44554</v>
      </c>
      <c r="B152" s="4">
        <v>44558</v>
      </c>
      <c r="C152" s="5">
        <v>9810</v>
      </c>
      <c r="D152" s="9" t="s">
        <v>74</v>
      </c>
      <c r="E152" s="5" t="s">
        <v>67</v>
      </c>
      <c r="F152" s="5" t="s">
        <v>29</v>
      </c>
      <c r="G152" s="5" t="s">
        <v>41</v>
      </c>
      <c r="H152" s="5">
        <v>100</v>
      </c>
      <c r="I152" s="7">
        <v>4880</v>
      </c>
      <c r="J152" s="9">
        <v>0</v>
      </c>
      <c r="K152" s="9">
        <v>0</v>
      </c>
      <c r="L152" s="9" t="s">
        <v>90</v>
      </c>
      <c r="M152" s="15">
        <f t="shared" si="4"/>
        <v>488000</v>
      </c>
      <c r="N152" s="19">
        <v>-60535</v>
      </c>
    </row>
    <row r="153" spans="1:14" x14ac:dyDescent="0.45">
      <c r="A153" s="4">
        <v>44557</v>
      </c>
      <c r="B153" s="4">
        <v>44559</v>
      </c>
      <c r="C153" s="5">
        <v>2269</v>
      </c>
      <c r="D153" s="9" t="s">
        <v>73</v>
      </c>
      <c r="E153" s="5" t="s">
        <v>67</v>
      </c>
      <c r="F153" s="5" t="s">
        <v>29</v>
      </c>
      <c r="G153" s="5" t="s">
        <v>41</v>
      </c>
      <c r="H153" s="5">
        <v>100</v>
      </c>
      <c r="I153" s="7">
        <v>6844</v>
      </c>
      <c r="J153" s="9">
        <v>487</v>
      </c>
      <c r="K153" s="9">
        <v>48</v>
      </c>
      <c r="L153" s="9" t="s">
        <v>90</v>
      </c>
      <c r="M153" s="15">
        <f t="shared" si="4"/>
        <v>683865</v>
      </c>
      <c r="N153" s="19">
        <v>-58670</v>
      </c>
    </row>
    <row r="154" spans="1:14" x14ac:dyDescent="0.45">
      <c r="A154" s="4">
        <v>44557</v>
      </c>
      <c r="B154" s="4">
        <v>44559</v>
      </c>
      <c r="C154" s="5">
        <v>9020</v>
      </c>
      <c r="D154" s="9" t="s">
        <v>123</v>
      </c>
      <c r="E154" s="5" t="s">
        <v>67</v>
      </c>
      <c r="F154" s="5" t="s">
        <v>29</v>
      </c>
      <c r="G154" s="5" t="s">
        <v>30</v>
      </c>
      <c r="H154" s="5">
        <v>100</v>
      </c>
      <c r="I154" s="7">
        <v>7051</v>
      </c>
      <c r="J154" s="9">
        <v>487</v>
      </c>
      <c r="K154" s="9">
        <v>48</v>
      </c>
      <c r="L154" s="9" t="s">
        <v>31</v>
      </c>
      <c r="M154" s="15">
        <f t="shared" si="4"/>
        <v>705635</v>
      </c>
      <c r="N154" s="19">
        <v>0</v>
      </c>
    </row>
    <row r="155" spans="1:14" x14ac:dyDescent="0.45">
      <c r="A155" s="4">
        <v>44557</v>
      </c>
      <c r="B155" s="4">
        <v>44559</v>
      </c>
      <c r="C155" s="5">
        <v>9020</v>
      </c>
      <c r="D155" s="9" t="s">
        <v>123</v>
      </c>
      <c r="E155" s="5" t="s">
        <v>67</v>
      </c>
      <c r="F155" s="5" t="s">
        <v>29</v>
      </c>
      <c r="G155" s="5" t="s">
        <v>41</v>
      </c>
      <c r="H155" s="5">
        <v>100</v>
      </c>
      <c r="I155" s="7">
        <v>7046</v>
      </c>
      <c r="J155" s="9">
        <v>487</v>
      </c>
      <c r="K155" s="9">
        <v>48</v>
      </c>
      <c r="L155" s="9" t="s">
        <v>90</v>
      </c>
      <c r="M155" s="15">
        <f t="shared" si="4"/>
        <v>704065</v>
      </c>
      <c r="N155" s="19">
        <v>-79350</v>
      </c>
    </row>
    <row r="156" spans="1:14" x14ac:dyDescent="0.45">
      <c r="A156" s="4">
        <v>44557</v>
      </c>
      <c r="B156" s="4">
        <v>44559</v>
      </c>
      <c r="C156" s="5">
        <v>9202</v>
      </c>
      <c r="D156" s="9" t="s">
        <v>120</v>
      </c>
      <c r="E156" s="5" t="s">
        <v>67</v>
      </c>
      <c r="F156" s="5" t="s">
        <v>29</v>
      </c>
      <c r="G156" s="5" t="s">
        <v>30</v>
      </c>
      <c r="H156" s="5">
        <v>100</v>
      </c>
      <c r="I156" s="7">
        <v>2378.4</v>
      </c>
      <c r="J156" s="9">
        <v>250</v>
      </c>
      <c r="K156" s="9">
        <v>25</v>
      </c>
      <c r="L156" s="9" t="s">
        <v>31</v>
      </c>
      <c r="M156" s="15">
        <f t="shared" si="4"/>
        <v>238115</v>
      </c>
      <c r="N156" s="19">
        <v>0</v>
      </c>
    </row>
    <row r="157" spans="1:14" x14ac:dyDescent="0.45">
      <c r="A157" s="4">
        <v>44557</v>
      </c>
      <c r="B157" s="4">
        <v>44559</v>
      </c>
      <c r="C157" s="5">
        <v>9202</v>
      </c>
      <c r="D157" s="9" t="s">
        <v>120</v>
      </c>
      <c r="E157" s="5" t="s">
        <v>67</v>
      </c>
      <c r="F157" s="5" t="s">
        <v>29</v>
      </c>
      <c r="G157" s="5" t="s">
        <v>41</v>
      </c>
      <c r="H157" s="5">
        <v>100</v>
      </c>
      <c r="I157" s="7">
        <v>2378.5</v>
      </c>
      <c r="J157" s="9">
        <v>250</v>
      </c>
      <c r="K157" s="9">
        <v>25</v>
      </c>
      <c r="L157" s="9" t="s">
        <v>90</v>
      </c>
      <c r="M157" s="15">
        <f t="shared" si="4"/>
        <v>237575</v>
      </c>
      <c r="N157" s="19">
        <v>-40200</v>
      </c>
    </row>
    <row r="158" spans="1:14" x14ac:dyDescent="0.45">
      <c r="A158" s="4">
        <v>44565</v>
      </c>
      <c r="B158" s="4">
        <v>44567</v>
      </c>
      <c r="C158" s="5">
        <v>9104</v>
      </c>
      <c r="D158" s="9" t="s">
        <v>91</v>
      </c>
      <c r="E158" s="5" t="s">
        <v>67</v>
      </c>
      <c r="F158" s="5" t="s">
        <v>29</v>
      </c>
      <c r="G158" s="5" t="s">
        <v>41</v>
      </c>
      <c r="H158" s="5">
        <v>100</v>
      </c>
      <c r="I158" s="7">
        <v>9084</v>
      </c>
      <c r="J158" s="9">
        <v>487</v>
      </c>
      <c r="K158" s="9">
        <v>48</v>
      </c>
      <c r="L158" s="9" t="s">
        <v>90</v>
      </c>
      <c r="M158" s="15">
        <f t="shared" si="4"/>
        <v>907865</v>
      </c>
      <c r="N158" s="19">
        <v>143830</v>
      </c>
    </row>
    <row r="159" spans="1:14" x14ac:dyDescent="0.45">
      <c r="A159" s="4">
        <v>44575</v>
      </c>
      <c r="B159" s="4">
        <v>44579</v>
      </c>
      <c r="C159" s="5">
        <v>9104</v>
      </c>
      <c r="D159" s="9" t="s">
        <v>91</v>
      </c>
      <c r="E159" s="5" t="s">
        <v>67</v>
      </c>
      <c r="F159" s="5" t="s">
        <v>29</v>
      </c>
      <c r="G159" s="5" t="s">
        <v>30</v>
      </c>
      <c r="H159" s="5">
        <v>100</v>
      </c>
      <c r="I159" s="7">
        <v>9488</v>
      </c>
      <c r="J159" s="9">
        <v>487</v>
      </c>
      <c r="K159" s="9">
        <v>48</v>
      </c>
      <c r="L159" s="9" t="s">
        <v>31</v>
      </c>
      <c r="M159" s="15">
        <f t="shared" si="4"/>
        <v>949335</v>
      </c>
      <c r="N159" s="19">
        <v>0</v>
      </c>
    </row>
    <row r="160" spans="1:14" x14ac:dyDescent="0.45">
      <c r="A160" s="4">
        <v>44624</v>
      </c>
      <c r="B160" s="4">
        <v>44628</v>
      </c>
      <c r="C160" s="5">
        <v>9104</v>
      </c>
      <c r="D160" s="9" t="s">
        <v>91</v>
      </c>
      <c r="E160" s="5" t="s">
        <v>67</v>
      </c>
      <c r="F160" s="5" t="s">
        <v>29</v>
      </c>
      <c r="G160" s="5" t="s">
        <v>41</v>
      </c>
      <c r="H160" s="5">
        <v>100</v>
      </c>
      <c r="I160" s="7">
        <v>10750</v>
      </c>
      <c r="J160" s="9">
        <v>582</v>
      </c>
      <c r="K160" s="9">
        <v>58</v>
      </c>
      <c r="L160" s="9" t="s">
        <v>90</v>
      </c>
      <c r="M160" s="15">
        <f t="shared" si="4"/>
        <v>1074360</v>
      </c>
      <c r="N160" s="19">
        <v>125025</v>
      </c>
    </row>
    <row r="161" spans="1:14" x14ac:dyDescent="0.45">
      <c r="A161" s="4">
        <v>44634</v>
      </c>
      <c r="B161" s="4">
        <v>44636</v>
      </c>
      <c r="C161" s="5">
        <v>9810</v>
      </c>
      <c r="D161" s="9" t="s">
        <v>74</v>
      </c>
      <c r="E161" s="5" t="s">
        <v>67</v>
      </c>
      <c r="F161" s="5" t="s">
        <v>29</v>
      </c>
      <c r="G161" s="5" t="s">
        <v>41</v>
      </c>
      <c r="H161" s="5">
        <v>100</v>
      </c>
      <c r="I161" s="7">
        <v>5420</v>
      </c>
      <c r="J161" s="9">
        <v>487</v>
      </c>
      <c r="K161" s="9">
        <v>48</v>
      </c>
      <c r="L161" s="9" t="s">
        <v>90</v>
      </c>
      <c r="M161" s="15">
        <f t="shared" si="4"/>
        <v>541465</v>
      </c>
      <c r="N161" s="19">
        <v>49465</v>
      </c>
    </row>
    <row r="162" spans="1:14" x14ac:dyDescent="0.45">
      <c r="A162" s="4">
        <v>44637</v>
      </c>
      <c r="B162" s="4">
        <v>44642</v>
      </c>
      <c r="C162" s="5">
        <v>6971</v>
      </c>
      <c r="D162" s="9" t="s">
        <v>124</v>
      </c>
      <c r="E162" s="5" t="s">
        <v>67</v>
      </c>
      <c r="F162" s="5" t="s">
        <v>29</v>
      </c>
      <c r="G162" s="5" t="s">
        <v>30</v>
      </c>
      <c r="H162" s="5">
        <v>100</v>
      </c>
      <c r="I162" s="7">
        <v>6549</v>
      </c>
      <c r="J162" s="9">
        <v>487</v>
      </c>
      <c r="K162" s="9">
        <v>48</v>
      </c>
      <c r="L162" s="9" t="s">
        <v>31</v>
      </c>
      <c r="M162" s="15">
        <f t="shared" si="4"/>
        <v>655435</v>
      </c>
      <c r="N162" s="19">
        <v>0</v>
      </c>
    </row>
    <row r="163" spans="1:14" x14ac:dyDescent="0.45">
      <c r="A163" s="4">
        <v>44645</v>
      </c>
      <c r="B163" s="4">
        <v>44649</v>
      </c>
      <c r="C163" s="5">
        <v>6971</v>
      </c>
      <c r="D163" s="9" t="s">
        <v>124</v>
      </c>
      <c r="E163" s="5" t="s">
        <v>67</v>
      </c>
      <c r="F163" s="5" t="s">
        <v>29</v>
      </c>
      <c r="G163" s="5" t="s">
        <v>41</v>
      </c>
      <c r="H163" s="5">
        <v>100</v>
      </c>
      <c r="I163" s="7">
        <v>7026</v>
      </c>
      <c r="J163" s="9">
        <v>487</v>
      </c>
      <c r="K163" s="9">
        <v>48</v>
      </c>
      <c r="L163" s="9" t="s">
        <v>90</v>
      </c>
      <c r="M163" s="15">
        <f t="shared" si="4"/>
        <v>702065</v>
      </c>
      <c r="N163" s="19">
        <v>46630</v>
      </c>
    </row>
    <row r="164" spans="1:14" x14ac:dyDescent="0.45">
      <c r="A164" s="4">
        <v>44649</v>
      </c>
      <c r="B164" s="4">
        <v>44651</v>
      </c>
      <c r="C164" s="5">
        <v>9101</v>
      </c>
      <c r="D164" s="9" t="s">
        <v>94</v>
      </c>
      <c r="E164" s="5" t="s">
        <v>67</v>
      </c>
      <c r="F164" s="5" t="s">
        <v>29</v>
      </c>
      <c r="G164" s="5" t="s">
        <v>30</v>
      </c>
      <c r="H164" s="5">
        <v>100</v>
      </c>
      <c r="I164" s="7">
        <v>11115</v>
      </c>
      <c r="J164" s="9">
        <v>582</v>
      </c>
      <c r="K164" s="9">
        <v>58</v>
      </c>
      <c r="L164" s="9" t="s">
        <v>31</v>
      </c>
      <c r="M164" s="15">
        <f t="shared" si="4"/>
        <v>1112140</v>
      </c>
      <c r="N164" s="19">
        <v>0</v>
      </c>
    </row>
    <row r="165" spans="1:14" x14ac:dyDescent="0.45">
      <c r="A165" s="4">
        <v>44649</v>
      </c>
      <c r="B165" s="4">
        <v>44652</v>
      </c>
      <c r="C165" s="5">
        <v>9104</v>
      </c>
      <c r="D165" s="9" t="s">
        <v>91</v>
      </c>
      <c r="E165" s="5" t="s">
        <v>67</v>
      </c>
      <c r="F165" s="5"/>
      <c r="G165" s="5" t="s">
        <v>125</v>
      </c>
      <c r="H165" s="5">
        <v>200</v>
      </c>
      <c r="I165" s="7">
        <v>3451.66</v>
      </c>
      <c r="J165" s="9">
        <v>0</v>
      </c>
      <c r="K165" s="9">
        <v>0</v>
      </c>
      <c r="L165" s="9" t="s">
        <v>31</v>
      </c>
      <c r="M165" s="15">
        <v>0</v>
      </c>
      <c r="N165" s="19">
        <v>0</v>
      </c>
    </row>
    <row r="166" spans="1:14" x14ac:dyDescent="0.45">
      <c r="A166" s="4">
        <v>44649</v>
      </c>
      <c r="B166" s="4">
        <v>44651</v>
      </c>
      <c r="C166" s="5">
        <v>9104</v>
      </c>
      <c r="D166" s="9" t="s">
        <v>91</v>
      </c>
      <c r="E166" s="5" t="s">
        <v>67</v>
      </c>
      <c r="F166" s="5" t="s">
        <v>29</v>
      </c>
      <c r="G166" s="5" t="s">
        <v>30</v>
      </c>
      <c r="H166" s="5">
        <v>100</v>
      </c>
      <c r="I166" s="7">
        <v>10355</v>
      </c>
      <c r="J166" s="9">
        <v>582</v>
      </c>
      <c r="K166" s="9">
        <v>58</v>
      </c>
      <c r="L166" s="9" t="s">
        <v>31</v>
      </c>
      <c r="M166" s="15">
        <f t="shared" ref="M166:M229" si="5">IF(G166="買付",H166*I166+SUM(J166:K166),H166*I166-SUM(J166:K166))</f>
        <v>1036140</v>
      </c>
      <c r="N166" s="19">
        <v>0</v>
      </c>
    </row>
    <row r="167" spans="1:14" x14ac:dyDescent="0.45">
      <c r="A167" s="4">
        <v>44650</v>
      </c>
      <c r="B167" s="4">
        <v>44652</v>
      </c>
      <c r="C167" s="5">
        <v>9101</v>
      </c>
      <c r="D167" s="9" t="s">
        <v>94</v>
      </c>
      <c r="E167" s="5" t="s">
        <v>67</v>
      </c>
      <c r="F167" s="5" t="s">
        <v>29</v>
      </c>
      <c r="G167" s="5" t="s">
        <v>41</v>
      </c>
      <c r="H167" s="5">
        <v>100</v>
      </c>
      <c r="I167" s="7">
        <v>9660</v>
      </c>
      <c r="J167" s="9">
        <v>487</v>
      </c>
      <c r="K167" s="9">
        <v>48</v>
      </c>
      <c r="L167" s="9" t="s">
        <v>90</v>
      </c>
      <c r="M167" s="15">
        <f t="shared" si="5"/>
        <v>965465</v>
      </c>
      <c r="N167" s="19">
        <v>-146675</v>
      </c>
    </row>
    <row r="168" spans="1:14" x14ac:dyDescent="0.45">
      <c r="A168" s="4">
        <v>44650</v>
      </c>
      <c r="B168" s="4">
        <v>44652</v>
      </c>
      <c r="C168" s="5">
        <v>9104</v>
      </c>
      <c r="D168" s="9" t="s">
        <v>91</v>
      </c>
      <c r="E168" s="5" t="s">
        <v>67</v>
      </c>
      <c r="F168" s="5" t="s">
        <v>29</v>
      </c>
      <c r="G168" s="5" t="s">
        <v>41</v>
      </c>
      <c r="H168" s="5">
        <v>100</v>
      </c>
      <c r="I168" s="7">
        <v>3190</v>
      </c>
      <c r="J168" s="9">
        <v>250</v>
      </c>
      <c r="K168" s="9">
        <v>25</v>
      </c>
      <c r="L168" s="9" t="s">
        <v>90</v>
      </c>
      <c r="M168" s="15">
        <f t="shared" si="5"/>
        <v>318725</v>
      </c>
      <c r="N168" s="19">
        <v>-26655</v>
      </c>
    </row>
    <row r="169" spans="1:14" x14ac:dyDescent="0.45">
      <c r="A169" s="4">
        <v>44650</v>
      </c>
      <c r="B169" s="4">
        <v>44652</v>
      </c>
      <c r="C169" s="5">
        <v>9104</v>
      </c>
      <c r="D169" s="9" t="s">
        <v>91</v>
      </c>
      <c r="E169" s="5" t="s">
        <v>67</v>
      </c>
      <c r="F169" s="5" t="s">
        <v>29</v>
      </c>
      <c r="G169" s="5" t="s">
        <v>41</v>
      </c>
      <c r="H169" s="5">
        <v>100</v>
      </c>
      <c r="I169" s="7">
        <v>3176</v>
      </c>
      <c r="J169" s="9">
        <v>243</v>
      </c>
      <c r="K169" s="9">
        <v>24</v>
      </c>
      <c r="L169" s="9" t="s">
        <v>90</v>
      </c>
      <c r="M169" s="15">
        <f t="shared" si="5"/>
        <v>317333</v>
      </c>
      <c r="N169" s="19">
        <v>-28047</v>
      </c>
    </row>
    <row r="170" spans="1:14" x14ac:dyDescent="0.45">
      <c r="A170" s="4">
        <v>44650</v>
      </c>
      <c r="B170" s="4">
        <v>44652</v>
      </c>
      <c r="C170" s="5">
        <v>9104</v>
      </c>
      <c r="D170" s="9" t="s">
        <v>91</v>
      </c>
      <c r="E170" s="5" t="s">
        <v>67</v>
      </c>
      <c r="F170" s="5" t="s">
        <v>29</v>
      </c>
      <c r="G170" s="5" t="s">
        <v>41</v>
      </c>
      <c r="H170" s="5">
        <v>100</v>
      </c>
      <c r="I170" s="7">
        <v>3175</v>
      </c>
      <c r="J170" s="9">
        <v>244</v>
      </c>
      <c r="K170" s="9">
        <v>24</v>
      </c>
      <c r="L170" s="9" t="s">
        <v>90</v>
      </c>
      <c r="M170" s="15">
        <f t="shared" si="5"/>
        <v>317232</v>
      </c>
      <c r="N170" s="19">
        <v>-28148</v>
      </c>
    </row>
    <row r="171" spans="1:14" x14ac:dyDescent="0.45">
      <c r="A171" s="4">
        <v>44670</v>
      </c>
      <c r="B171" s="4">
        <v>44672</v>
      </c>
      <c r="C171" s="5">
        <v>9101</v>
      </c>
      <c r="D171" s="9" t="s">
        <v>94</v>
      </c>
      <c r="E171" s="5" t="s">
        <v>67</v>
      </c>
      <c r="F171" s="5" t="s">
        <v>29</v>
      </c>
      <c r="G171" s="5" t="s">
        <v>30</v>
      </c>
      <c r="H171" s="5">
        <v>100</v>
      </c>
      <c r="I171" s="7">
        <v>9916</v>
      </c>
      <c r="J171" s="9">
        <v>487</v>
      </c>
      <c r="K171" s="9">
        <v>48</v>
      </c>
      <c r="L171" s="9" t="s">
        <v>31</v>
      </c>
      <c r="M171" s="15">
        <f t="shared" si="5"/>
        <v>992135</v>
      </c>
      <c r="N171" s="19">
        <v>0</v>
      </c>
    </row>
    <row r="172" spans="1:14" x14ac:dyDescent="0.45">
      <c r="A172" s="4">
        <v>44672</v>
      </c>
      <c r="B172" s="4">
        <v>44676</v>
      </c>
      <c r="C172" s="5">
        <v>9101</v>
      </c>
      <c r="D172" s="9" t="s">
        <v>94</v>
      </c>
      <c r="E172" s="5" t="s">
        <v>67</v>
      </c>
      <c r="F172" s="5" t="s">
        <v>29</v>
      </c>
      <c r="G172" s="5" t="s">
        <v>41</v>
      </c>
      <c r="H172" s="5">
        <v>100</v>
      </c>
      <c r="I172" s="7">
        <v>9940</v>
      </c>
      <c r="J172" s="9">
        <v>487</v>
      </c>
      <c r="K172" s="9">
        <v>48</v>
      </c>
      <c r="L172" s="9" t="s">
        <v>90</v>
      </c>
      <c r="M172" s="15">
        <f t="shared" si="5"/>
        <v>993465</v>
      </c>
      <c r="N172" s="19">
        <v>1330</v>
      </c>
    </row>
    <row r="173" spans="1:14" x14ac:dyDescent="0.45">
      <c r="A173" s="4">
        <v>44672</v>
      </c>
      <c r="B173" s="4">
        <v>44676</v>
      </c>
      <c r="C173" s="5">
        <v>9107</v>
      </c>
      <c r="D173" s="9" t="s">
        <v>92</v>
      </c>
      <c r="E173" s="5" t="s">
        <v>67</v>
      </c>
      <c r="F173" s="5" t="s">
        <v>29</v>
      </c>
      <c r="G173" s="5" t="s">
        <v>30</v>
      </c>
      <c r="H173" s="5">
        <v>100</v>
      </c>
      <c r="I173" s="7">
        <v>7660</v>
      </c>
      <c r="J173" s="9">
        <v>487</v>
      </c>
      <c r="K173" s="9">
        <v>48</v>
      </c>
      <c r="L173" s="9" t="s">
        <v>31</v>
      </c>
      <c r="M173" s="15">
        <f t="shared" si="5"/>
        <v>766535</v>
      </c>
      <c r="N173" s="19">
        <v>0</v>
      </c>
    </row>
    <row r="174" spans="1:14" x14ac:dyDescent="0.45">
      <c r="A174" s="4">
        <v>44697</v>
      </c>
      <c r="B174" s="4">
        <v>44699</v>
      </c>
      <c r="C174" s="5">
        <v>9107</v>
      </c>
      <c r="D174" s="9" t="s">
        <v>92</v>
      </c>
      <c r="E174" s="5" t="s">
        <v>67</v>
      </c>
      <c r="F174" s="5" t="s">
        <v>29</v>
      </c>
      <c r="G174" s="5" t="s">
        <v>41</v>
      </c>
      <c r="H174" s="5">
        <v>100</v>
      </c>
      <c r="I174" s="7">
        <v>8770</v>
      </c>
      <c r="J174" s="9">
        <v>487</v>
      </c>
      <c r="K174" s="9">
        <v>48</v>
      </c>
      <c r="L174" s="9" t="s">
        <v>90</v>
      </c>
      <c r="M174" s="15">
        <f t="shared" si="5"/>
        <v>876465</v>
      </c>
      <c r="N174" s="19" t="s">
        <v>170</v>
      </c>
    </row>
    <row r="175" spans="1:14" x14ac:dyDescent="0.45">
      <c r="A175" s="4">
        <v>44704</v>
      </c>
      <c r="B175" s="4">
        <v>44706</v>
      </c>
      <c r="C175" s="5">
        <v>9433</v>
      </c>
      <c r="D175" s="9" t="s">
        <v>71</v>
      </c>
      <c r="E175" s="5" t="s">
        <v>67</v>
      </c>
      <c r="F175" s="5" t="s">
        <v>29</v>
      </c>
      <c r="G175" s="5" t="s">
        <v>30</v>
      </c>
      <c r="H175" s="5">
        <v>100</v>
      </c>
      <c r="I175" s="7">
        <v>4555</v>
      </c>
      <c r="J175" s="9">
        <v>250</v>
      </c>
      <c r="K175" s="9">
        <v>25</v>
      </c>
      <c r="L175" s="9" t="s">
        <v>31</v>
      </c>
      <c r="M175" s="15">
        <f t="shared" si="5"/>
        <v>455775</v>
      </c>
      <c r="N175" s="19">
        <v>0</v>
      </c>
    </row>
    <row r="176" spans="1:14" x14ac:dyDescent="0.45">
      <c r="A176" s="4">
        <v>44705</v>
      </c>
      <c r="B176" s="4">
        <v>44707</v>
      </c>
      <c r="C176" s="5">
        <v>9101</v>
      </c>
      <c r="D176" s="9" t="s">
        <v>94</v>
      </c>
      <c r="E176" s="5" t="s">
        <v>67</v>
      </c>
      <c r="F176" s="5" t="s">
        <v>29</v>
      </c>
      <c r="G176" s="5" t="s">
        <v>30</v>
      </c>
      <c r="H176" s="5">
        <v>100</v>
      </c>
      <c r="I176" s="7">
        <v>10360</v>
      </c>
      <c r="J176" s="9">
        <v>582</v>
      </c>
      <c r="K176" s="9">
        <v>58</v>
      </c>
      <c r="L176" s="9" t="s">
        <v>31</v>
      </c>
      <c r="M176" s="15">
        <f t="shared" si="5"/>
        <v>1036640</v>
      </c>
      <c r="N176" s="19">
        <v>0</v>
      </c>
    </row>
    <row r="177" spans="1:14" x14ac:dyDescent="0.45">
      <c r="A177" s="4">
        <v>44708</v>
      </c>
      <c r="B177" s="4">
        <v>44712</v>
      </c>
      <c r="C177" s="5">
        <v>9202</v>
      </c>
      <c r="D177" s="9" t="s">
        <v>120</v>
      </c>
      <c r="E177" s="5" t="s">
        <v>67</v>
      </c>
      <c r="F177" s="5" t="s">
        <v>29</v>
      </c>
      <c r="G177" s="5" t="s">
        <v>41</v>
      </c>
      <c r="H177" s="5">
        <v>100</v>
      </c>
      <c r="I177" s="7">
        <v>2605</v>
      </c>
      <c r="J177" s="9">
        <v>250</v>
      </c>
      <c r="K177" s="9">
        <v>25</v>
      </c>
      <c r="L177" s="9" t="s">
        <v>90</v>
      </c>
      <c r="M177" s="15">
        <f t="shared" si="5"/>
        <v>260225</v>
      </c>
      <c r="N177" s="19">
        <v>22110</v>
      </c>
    </row>
    <row r="178" spans="1:14" x14ac:dyDescent="0.45">
      <c r="A178" s="4">
        <v>44715</v>
      </c>
      <c r="B178" s="4">
        <v>44719</v>
      </c>
      <c r="C178" s="5">
        <v>4452</v>
      </c>
      <c r="D178" s="9" t="s">
        <v>95</v>
      </c>
      <c r="E178" s="5" t="s">
        <v>67</v>
      </c>
      <c r="F178" s="5" t="s">
        <v>29</v>
      </c>
      <c r="G178" s="5" t="s">
        <v>30</v>
      </c>
      <c r="H178" s="5">
        <v>100</v>
      </c>
      <c r="I178" s="7">
        <v>5290</v>
      </c>
      <c r="J178" s="9">
        <v>487</v>
      </c>
      <c r="K178" s="9">
        <v>48</v>
      </c>
      <c r="L178" s="9" t="s">
        <v>31</v>
      </c>
      <c r="M178" s="15">
        <f t="shared" si="5"/>
        <v>529535</v>
      </c>
      <c r="N178" s="19">
        <v>0</v>
      </c>
    </row>
    <row r="179" spans="1:14" x14ac:dyDescent="0.45">
      <c r="A179" s="4">
        <v>44715</v>
      </c>
      <c r="B179" s="4">
        <v>44719</v>
      </c>
      <c r="C179" s="5">
        <v>9308</v>
      </c>
      <c r="D179" s="9" t="s">
        <v>70</v>
      </c>
      <c r="E179" s="5" t="s">
        <v>67</v>
      </c>
      <c r="F179" s="5" t="s">
        <v>29</v>
      </c>
      <c r="G179" s="5" t="s">
        <v>30</v>
      </c>
      <c r="H179" s="5">
        <v>100</v>
      </c>
      <c r="I179" s="7">
        <v>1900</v>
      </c>
      <c r="J179" s="9">
        <v>105</v>
      </c>
      <c r="K179" s="9">
        <v>10</v>
      </c>
      <c r="L179" s="9" t="s">
        <v>31</v>
      </c>
      <c r="M179" s="15">
        <f t="shared" si="5"/>
        <v>190115</v>
      </c>
      <c r="N179" s="19">
        <v>0</v>
      </c>
    </row>
    <row r="180" spans="1:14" x14ac:dyDescent="0.45">
      <c r="A180" s="4">
        <v>44720</v>
      </c>
      <c r="B180" s="4">
        <v>44722</v>
      </c>
      <c r="C180" s="5">
        <v>7012</v>
      </c>
      <c r="D180" s="9" t="s">
        <v>69</v>
      </c>
      <c r="E180" s="5" t="s">
        <v>67</v>
      </c>
      <c r="F180" s="5" t="s">
        <v>29</v>
      </c>
      <c r="G180" s="5" t="s">
        <v>30</v>
      </c>
      <c r="H180" s="5">
        <v>100</v>
      </c>
      <c r="I180" s="7">
        <v>2970</v>
      </c>
      <c r="J180" s="9">
        <v>250</v>
      </c>
      <c r="K180" s="9">
        <v>25</v>
      </c>
      <c r="L180" s="9" t="s">
        <v>31</v>
      </c>
      <c r="M180" s="15">
        <f t="shared" si="5"/>
        <v>297275</v>
      </c>
      <c r="N180" s="19">
        <v>0</v>
      </c>
    </row>
    <row r="181" spans="1:14" x14ac:dyDescent="0.45">
      <c r="A181" s="4">
        <v>44720</v>
      </c>
      <c r="B181" s="4">
        <v>44722</v>
      </c>
      <c r="C181" s="5">
        <v>7013</v>
      </c>
      <c r="D181" s="9" t="s">
        <v>126</v>
      </c>
      <c r="E181" s="5" t="s">
        <v>67</v>
      </c>
      <c r="F181" s="5" t="s">
        <v>29</v>
      </c>
      <c r="G181" s="5" t="s">
        <v>30</v>
      </c>
      <c r="H181" s="5">
        <v>100</v>
      </c>
      <c r="I181" s="7">
        <v>4260</v>
      </c>
      <c r="J181" s="9">
        <v>250</v>
      </c>
      <c r="K181" s="9">
        <v>25</v>
      </c>
      <c r="L181" s="9" t="s">
        <v>31</v>
      </c>
      <c r="M181" s="15">
        <f t="shared" si="5"/>
        <v>426275</v>
      </c>
      <c r="N181" s="19">
        <v>0</v>
      </c>
    </row>
    <row r="182" spans="1:14" x14ac:dyDescent="0.45">
      <c r="A182" s="4">
        <v>44720</v>
      </c>
      <c r="B182" s="4">
        <v>44722</v>
      </c>
      <c r="C182" s="5">
        <v>9101</v>
      </c>
      <c r="D182" s="9" t="s">
        <v>94</v>
      </c>
      <c r="E182" s="5" t="s">
        <v>67</v>
      </c>
      <c r="F182" s="5" t="s">
        <v>29</v>
      </c>
      <c r="G182" s="5" t="s">
        <v>41</v>
      </c>
      <c r="H182" s="5">
        <v>100</v>
      </c>
      <c r="I182" s="7">
        <v>10560</v>
      </c>
      <c r="J182" s="9">
        <v>582</v>
      </c>
      <c r="K182" s="9">
        <v>58</v>
      </c>
      <c r="L182" s="9" t="s">
        <v>90</v>
      </c>
      <c r="M182" s="15">
        <f t="shared" si="5"/>
        <v>1055360</v>
      </c>
      <c r="N182" s="19">
        <v>18720</v>
      </c>
    </row>
    <row r="183" spans="1:14" x14ac:dyDescent="0.45">
      <c r="A183" s="4">
        <v>44722</v>
      </c>
      <c r="B183" s="4">
        <v>44726</v>
      </c>
      <c r="C183" s="5">
        <v>9101</v>
      </c>
      <c r="D183" s="9" t="s">
        <v>94</v>
      </c>
      <c r="E183" s="5" t="s">
        <v>67</v>
      </c>
      <c r="F183" s="5" t="s">
        <v>29</v>
      </c>
      <c r="G183" s="5" t="s">
        <v>30</v>
      </c>
      <c r="H183" s="5">
        <v>100</v>
      </c>
      <c r="I183" s="7">
        <v>9848</v>
      </c>
      <c r="J183" s="9">
        <v>487</v>
      </c>
      <c r="K183" s="9">
        <v>48</v>
      </c>
      <c r="L183" s="9" t="s">
        <v>31</v>
      </c>
      <c r="M183" s="15">
        <f t="shared" si="5"/>
        <v>985335</v>
      </c>
      <c r="N183" s="19">
        <v>0</v>
      </c>
    </row>
    <row r="184" spans="1:14" x14ac:dyDescent="0.45">
      <c r="A184" s="4">
        <v>44732</v>
      </c>
      <c r="B184" s="4">
        <v>44734</v>
      </c>
      <c r="C184" s="5">
        <v>7013</v>
      </c>
      <c r="D184" s="9" t="s">
        <v>126</v>
      </c>
      <c r="E184" s="5" t="s">
        <v>67</v>
      </c>
      <c r="F184" s="5" t="s">
        <v>29</v>
      </c>
      <c r="G184" s="5" t="s">
        <v>41</v>
      </c>
      <c r="H184" s="5">
        <v>100</v>
      </c>
      <c r="I184" s="7">
        <v>3592</v>
      </c>
      <c r="J184" s="9">
        <v>250</v>
      </c>
      <c r="K184" s="9">
        <v>25</v>
      </c>
      <c r="L184" s="9" t="s">
        <v>90</v>
      </c>
      <c r="M184" s="15">
        <f t="shared" si="5"/>
        <v>358925</v>
      </c>
      <c r="N184" s="19">
        <v>-67350</v>
      </c>
    </row>
    <row r="185" spans="1:14" x14ac:dyDescent="0.45">
      <c r="A185" s="4">
        <v>44739</v>
      </c>
      <c r="B185" s="4">
        <v>44741</v>
      </c>
      <c r="C185" s="5">
        <v>8058</v>
      </c>
      <c r="D185" s="9" t="s">
        <v>72</v>
      </c>
      <c r="E185" s="5" t="s">
        <v>67</v>
      </c>
      <c r="F185" s="5" t="s">
        <v>29</v>
      </c>
      <c r="G185" s="5" t="s">
        <v>30</v>
      </c>
      <c r="H185" s="5">
        <v>100</v>
      </c>
      <c r="I185" s="7">
        <v>4015</v>
      </c>
      <c r="J185" s="9">
        <v>250</v>
      </c>
      <c r="K185" s="9">
        <v>25</v>
      </c>
      <c r="L185" s="9" t="s">
        <v>31</v>
      </c>
      <c r="M185" s="15">
        <f t="shared" si="5"/>
        <v>401775</v>
      </c>
      <c r="N185" s="19">
        <v>0</v>
      </c>
    </row>
    <row r="186" spans="1:14" x14ac:dyDescent="0.45">
      <c r="A186" s="4">
        <v>44739</v>
      </c>
      <c r="B186" s="4">
        <v>44741</v>
      </c>
      <c r="C186" s="5">
        <v>9810</v>
      </c>
      <c r="D186" s="9" t="s">
        <v>74</v>
      </c>
      <c r="E186" s="5" t="s">
        <v>67</v>
      </c>
      <c r="F186" s="5" t="s">
        <v>29</v>
      </c>
      <c r="G186" s="5" t="s">
        <v>30</v>
      </c>
      <c r="H186" s="5">
        <v>100</v>
      </c>
      <c r="I186" s="7">
        <v>5060</v>
      </c>
      <c r="J186" s="9">
        <v>487</v>
      </c>
      <c r="K186" s="9">
        <v>48</v>
      </c>
      <c r="L186" s="9" t="s">
        <v>31</v>
      </c>
      <c r="M186" s="15">
        <f t="shared" si="5"/>
        <v>506535</v>
      </c>
      <c r="N186" s="19">
        <v>0</v>
      </c>
    </row>
    <row r="187" spans="1:14" x14ac:dyDescent="0.45">
      <c r="A187" s="4">
        <v>44748</v>
      </c>
      <c r="B187" s="4">
        <v>44750</v>
      </c>
      <c r="C187" s="5">
        <v>8058</v>
      </c>
      <c r="D187" s="9" t="s">
        <v>72</v>
      </c>
      <c r="E187" s="5" t="s">
        <v>67</v>
      </c>
      <c r="F187" s="5" t="s">
        <v>29</v>
      </c>
      <c r="G187" s="5" t="s">
        <v>41</v>
      </c>
      <c r="H187" s="5">
        <v>100</v>
      </c>
      <c r="I187" s="7">
        <v>3760</v>
      </c>
      <c r="J187" s="9">
        <v>250</v>
      </c>
      <c r="K187" s="9">
        <v>25</v>
      </c>
      <c r="L187" s="9" t="s">
        <v>90</v>
      </c>
      <c r="M187" s="15">
        <f t="shared" si="5"/>
        <v>375725</v>
      </c>
      <c r="N187" s="19">
        <v>-26050</v>
      </c>
    </row>
    <row r="188" spans="1:14" x14ac:dyDescent="0.45">
      <c r="A188" s="4">
        <v>44757</v>
      </c>
      <c r="B188" s="4">
        <v>44762</v>
      </c>
      <c r="C188" s="5">
        <v>4507</v>
      </c>
      <c r="D188" s="9" t="s">
        <v>98</v>
      </c>
      <c r="E188" s="5" t="s">
        <v>67</v>
      </c>
      <c r="F188" s="5" t="s">
        <v>29</v>
      </c>
      <c r="G188" s="5" t="s">
        <v>30</v>
      </c>
      <c r="H188" s="5">
        <v>100</v>
      </c>
      <c r="I188" s="7">
        <v>7477</v>
      </c>
      <c r="J188" s="9">
        <v>487</v>
      </c>
      <c r="K188" s="9">
        <v>48</v>
      </c>
      <c r="L188" s="9" t="s">
        <v>31</v>
      </c>
      <c r="M188" s="15">
        <f t="shared" si="5"/>
        <v>748235</v>
      </c>
      <c r="N188" s="19">
        <v>0</v>
      </c>
    </row>
    <row r="189" spans="1:14" x14ac:dyDescent="0.45">
      <c r="A189" s="4">
        <v>44757</v>
      </c>
      <c r="B189" s="4">
        <v>44762</v>
      </c>
      <c r="C189" s="5">
        <v>9308</v>
      </c>
      <c r="D189" s="9" t="s">
        <v>70</v>
      </c>
      <c r="E189" s="5" t="s">
        <v>67</v>
      </c>
      <c r="F189" s="5" t="s">
        <v>29</v>
      </c>
      <c r="G189" s="5" t="s">
        <v>41</v>
      </c>
      <c r="H189" s="5">
        <v>100</v>
      </c>
      <c r="I189" s="7">
        <v>1756.2</v>
      </c>
      <c r="J189" s="9">
        <v>105</v>
      </c>
      <c r="K189" s="9">
        <v>10</v>
      </c>
      <c r="L189" s="9" t="s">
        <v>90</v>
      </c>
      <c r="M189" s="15">
        <f t="shared" si="5"/>
        <v>175505</v>
      </c>
      <c r="N189" s="19">
        <v>-14610</v>
      </c>
    </row>
    <row r="190" spans="1:14" x14ac:dyDescent="0.45">
      <c r="A190" s="4">
        <v>44763</v>
      </c>
      <c r="B190" s="4">
        <v>44767</v>
      </c>
      <c r="C190" s="5">
        <v>4507</v>
      </c>
      <c r="D190" s="9" t="s">
        <v>98</v>
      </c>
      <c r="E190" s="5" t="s">
        <v>67</v>
      </c>
      <c r="F190" s="5" t="s">
        <v>29</v>
      </c>
      <c r="G190" s="5" t="s">
        <v>41</v>
      </c>
      <c r="H190" s="5">
        <v>100</v>
      </c>
      <c r="I190" s="7">
        <v>6800</v>
      </c>
      <c r="J190" s="9">
        <v>487</v>
      </c>
      <c r="K190" s="9">
        <v>48</v>
      </c>
      <c r="L190" s="9" t="s">
        <v>90</v>
      </c>
      <c r="M190" s="15">
        <f t="shared" si="5"/>
        <v>679465</v>
      </c>
      <c r="N190" s="19">
        <v>-68770</v>
      </c>
    </row>
    <row r="191" spans="1:14" x14ac:dyDescent="0.45">
      <c r="A191" s="4">
        <v>44770</v>
      </c>
      <c r="B191" s="4">
        <v>44774</v>
      </c>
      <c r="C191" s="5">
        <v>7947</v>
      </c>
      <c r="D191" s="9" t="s">
        <v>127</v>
      </c>
      <c r="E191" s="5" t="s">
        <v>67</v>
      </c>
      <c r="F191" s="5" t="s">
        <v>29</v>
      </c>
      <c r="G191" s="5" t="s">
        <v>30</v>
      </c>
      <c r="H191" s="5">
        <v>100</v>
      </c>
      <c r="I191" s="7">
        <v>3020</v>
      </c>
      <c r="J191" s="9">
        <v>250</v>
      </c>
      <c r="K191" s="9">
        <v>25</v>
      </c>
      <c r="L191" s="9" t="s">
        <v>31</v>
      </c>
      <c r="M191" s="15">
        <f t="shared" si="5"/>
        <v>302275</v>
      </c>
      <c r="N191" s="19">
        <v>0</v>
      </c>
    </row>
    <row r="192" spans="1:14" x14ac:dyDescent="0.45">
      <c r="A192" s="4">
        <v>44774</v>
      </c>
      <c r="B192" s="4">
        <v>44776</v>
      </c>
      <c r="C192" s="5">
        <v>7947</v>
      </c>
      <c r="D192" s="9" t="s">
        <v>127</v>
      </c>
      <c r="E192" s="5" t="s">
        <v>67</v>
      </c>
      <c r="F192" s="5" t="s">
        <v>29</v>
      </c>
      <c r="G192" s="5" t="s">
        <v>41</v>
      </c>
      <c r="H192" s="5">
        <v>100</v>
      </c>
      <c r="I192" s="7">
        <v>3292</v>
      </c>
      <c r="J192" s="9">
        <v>250</v>
      </c>
      <c r="K192" s="9">
        <v>25</v>
      </c>
      <c r="L192" s="9" t="s">
        <v>90</v>
      </c>
      <c r="M192" s="15">
        <f t="shared" si="5"/>
        <v>328925</v>
      </c>
      <c r="N192" s="19">
        <v>26650</v>
      </c>
    </row>
    <row r="193" spans="1:14" x14ac:dyDescent="0.45">
      <c r="A193" s="4">
        <v>44776</v>
      </c>
      <c r="B193" s="4">
        <v>44778</v>
      </c>
      <c r="C193" s="5">
        <v>7947</v>
      </c>
      <c r="D193" s="9" t="s">
        <v>127</v>
      </c>
      <c r="E193" s="5" t="s">
        <v>67</v>
      </c>
      <c r="F193" s="5" t="s">
        <v>29</v>
      </c>
      <c r="G193" s="5" t="s">
        <v>30</v>
      </c>
      <c r="H193" s="5">
        <v>100</v>
      </c>
      <c r="I193" s="7">
        <v>3335</v>
      </c>
      <c r="J193" s="9">
        <v>250</v>
      </c>
      <c r="K193" s="9">
        <v>25</v>
      </c>
      <c r="L193" s="9" t="s">
        <v>31</v>
      </c>
      <c r="M193" s="15">
        <f t="shared" si="5"/>
        <v>333775</v>
      </c>
      <c r="N193" s="19">
        <v>0</v>
      </c>
    </row>
    <row r="194" spans="1:14" x14ac:dyDescent="0.45">
      <c r="A194" s="4">
        <v>44781</v>
      </c>
      <c r="B194" s="4">
        <v>44783</v>
      </c>
      <c r="C194" s="5">
        <v>9020</v>
      </c>
      <c r="D194" s="9" t="s">
        <v>123</v>
      </c>
      <c r="E194" s="5" t="s">
        <v>67</v>
      </c>
      <c r="F194" s="5" t="s">
        <v>29</v>
      </c>
      <c r="G194" s="5" t="s">
        <v>41</v>
      </c>
      <c r="H194" s="5">
        <v>100</v>
      </c>
      <c r="I194" s="7">
        <v>7057</v>
      </c>
      <c r="J194" s="9">
        <v>487</v>
      </c>
      <c r="K194" s="9">
        <v>48</v>
      </c>
      <c r="L194" s="9" t="s">
        <v>90</v>
      </c>
      <c r="M194" s="15">
        <f t="shared" si="5"/>
        <v>705165</v>
      </c>
      <c r="N194" s="19">
        <v>-470</v>
      </c>
    </row>
    <row r="195" spans="1:14" x14ac:dyDescent="0.45">
      <c r="A195" s="4">
        <v>44783</v>
      </c>
      <c r="B195" s="4">
        <v>44788</v>
      </c>
      <c r="C195" s="5">
        <v>9810</v>
      </c>
      <c r="D195" s="9" t="s">
        <v>74</v>
      </c>
      <c r="E195" s="5" t="s">
        <v>67</v>
      </c>
      <c r="F195" s="5" t="s">
        <v>29</v>
      </c>
      <c r="G195" s="5" t="s">
        <v>41</v>
      </c>
      <c r="H195" s="5">
        <v>100</v>
      </c>
      <c r="I195" s="7">
        <v>5203</v>
      </c>
      <c r="J195" s="9">
        <v>487</v>
      </c>
      <c r="K195" s="9">
        <v>48</v>
      </c>
      <c r="L195" s="9" t="s">
        <v>90</v>
      </c>
      <c r="M195" s="15">
        <f t="shared" si="5"/>
        <v>519765</v>
      </c>
      <c r="N195" s="19">
        <v>13230</v>
      </c>
    </row>
    <row r="196" spans="1:14" x14ac:dyDescent="0.45">
      <c r="A196" s="4">
        <v>44788</v>
      </c>
      <c r="B196" s="4">
        <v>44790</v>
      </c>
      <c r="C196" s="5">
        <v>8766</v>
      </c>
      <c r="D196" s="9" t="s">
        <v>44</v>
      </c>
      <c r="E196" s="5" t="s">
        <v>67</v>
      </c>
      <c r="F196" s="5" t="s">
        <v>29</v>
      </c>
      <c r="G196" s="5" t="s">
        <v>30</v>
      </c>
      <c r="H196" s="5">
        <v>100</v>
      </c>
      <c r="I196" s="7">
        <v>7522.5</v>
      </c>
      <c r="J196" s="9">
        <v>487</v>
      </c>
      <c r="K196" s="9">
        <v>48</v>
      </c>
      <c r="L196" s="9" t="s">
        <v>31</v>
      </c>
      <c r="M196" s="15">
        <f t="shared" si="5"/>
        <v>752785</v>
      </c>
      <c r="N196" s="19">
        <v>0</v>
      </c>
    </row>
    <row r="197" spans="1:14" x14ac:dyDescent="0.45">
      <c r="A197" s="4">
        <v>44789</v>
      </c>
      <c r="B197" s="4">
        <v>44791</v>
      </c>
      <c r="C197" s="5">
        <v>4452</v>
      </c>
      <c r="D197" s="9" t="s">
        <v>95</v>
      </c>
      <c r="E197" s="5" t="s">
        <v>67</v>
      </c>
      <c r="F197" s="5" t="s">
        <v>29</v>
      </c>
      <c r="G197" s="5" t="s">
        <v>41</v>
      </c>
      <c r="H197" s="5">
        <v>100</v>
      </c>
      <c r="I197" s="7">
        <v>6101</v>
      </c>
      <c r="J197" s="9">
        <v>487</v>
      </c>
      <c r="K197" s="9">
        <v>48</v>
      </c>
      <c r="L197" s="9" t="s">
        <v>90</v>
      </c>
      <c r="M197" s="15">
        <f t="shared" si="5"/>
        <v>609565</v>
      </c>
      <c r="N197" s="19">
        <v>80030</v>
      </c>
    </row>
    <row r="198" spans="1:14" x14ac:dyDescent="0.45">
      <c r="A198" s="4">
        <v>44789</v>
      </c>
      <c r="B198" s="4">
        <v>44791</v>
      </c>
      <c r="C198" s="5">
        <v>9101</v>
      </c>
      <c r="D198" s="9" t="s">
        <v>94</v>
      </c>
      <c r="E198" s="5" t="s">
        <v>67</v>
      </c>
      <c r="F198" s="5" t="s">
        <v>29</v>
      </c>
      <c r="G198" s="5" t="s">
        <v>41</v>
      </c>
      <c r="H198" s="5">
        <v>100</v>
      </c>
      <c r="I198" s="7">
        <v>10380</v>
      </c>
      <c r="J198" s="9">
        <v>582</v>
      </c>
      <c r="K198" s="9">
        <v>58</v>
      </c>
      <c r="L198" s="9" t="s">
        <v>90</v>
      </c>
      <c r="M198" s="15">
        <f t="shared" si="5"/>
        <v>1037360</v>
      </c>
      <c r="N198" s="19">
        <v>52025</v>
      </c>
    </row>
    <row r="199" spans="1:14" x14ac:dyDescent="0.45">
      <c r="A199" s="4">
        <v>44795</v>
      </c>
      <c r="B199" s="4">
        <v>44797</v>
      </c>
      <c r="C199" s="5">
        <v>9101</v>
      </c>
      <c r="D199" s="9" t="s">
        <v>94</v>
      </c>
      <c r="E199" s="5" t="s">
        <v>67</v>
      </c>
      <c r="F199" s="5" t="s">
        <v>29</v>
      </c>
      <c r="G199" s="5" t="s">
        <v>30</v>
      </c>
      <c r="H199" s="5">
        <v>100</v>
      </c>
      <c r="I199" s="7">
        <v>10670</v>
      </c>
      <c r="J199" s="9">
        <v>582</v>
      </c>
      <c r="K199" s="9">
        <v>58</v>
      </c>
      <c r="L199" s="9" t="s">
        <v>31</v>
      </c>
      <c r="M199" s="15">
        <f t="shared" si="5"/>
        <v>1067640</v>
      </c>
      <c r="N199" s="19">
        <v>0</v>
      </c>
    </row>
    <row r="200" spans="1:14" x14ac:dyDescent="0.45">
      <c r="A200" s="4">
        <v>44796</v>
      </c>
      <c r="B200" s="4">
        <v>44798</v>
      </c>
      <c r="C200" s="5">
        <v>4452</v>
      </c>
      <c r="D200" s="9" t="s">
        <v>95</v>
      </c>
      <c r="E200" s="5" t="s">
        <v>67</v>
      </c>
      <c r="F200" s="5" t="s">
        <v>29</v>
      </c>
      <c r="G200" s="5" t="s">
        <v>30</v>
      </c>
      <c r="H200" s="5">
        <v>100</v>
      </c>
      <c r="I200" s="7">
        <v>6265</v>
      </c>
      <c r="J200" s="9">
        <v>487</v>
      </c>
      <c r="K200" s="9">
        <v>48</v>
      </c>
      <c r="L200" s="9" t="s">
        <v>31</v>
      </c>
      <c r="M200" s="15">
        <f t="shared" si="5"/>
        <v>627035</v>
      </c>
      <c r="N200" s="19">
        <v>0</v>
      </c>
    </row>
    <row r="201" spans="1:14" x14ac:dyDescent="0.45">
      <c r="A201" s="4">
        <v>44796</v>
      </c>
      <c r="B201" s="4">
        <v>44798</v>
      </c>
      <c r="C201" s="5">
        <v>7947</v>
      </c>
      <c r="D201" s="9" t="s">
        <v>127</v>
      </c>
      <c r="E201" s="5" t="s">
        <v>67</v>
      </c>
      <c r="F201" s="5" t="s">
        <v>29</v>
      </c>
      <c r="G201" s="5" t="s">
        <v>41</v>
      </c>
      <c r="H201" s="5">
        <v>100</v>
      </c>
      <c r="I201" s="7">
        <v>3455</v>
      </c>
      <c r="J201" s="9">
        <v>250</v>
      </c>
      <c r="K201" s="9">
        <v>25</v>
      </c>
      <c r="L201" s="9" t="s">
        <v>90</v>
      </c>
      <c r="M201" s="15">
        <f t="shared" si="5"/>
        <v>345225</v>
      </c>
      <c r="N201" s="19">
        <v>11450</v>
      </c>
    </row>
    <row r="202" spans="1:14" x14ac:dyDescent="0.45">
      <c r="A202" s="4">
        <v>44798</v>
      </c>
      <c r="B202" s="4">
        <v>44802</v>
      </c>
      <c r="C202" s="5">
        <v>8058</v>
      </c>
      <c r="D202" s="9" t="s">
        <v>72</v>
      </c>
      <c r="E202" s="5" t="s">
        <v>67</v>
      </c>
      <c r="F202" s="5" t="s">
        <v>29</v>
      </c>
      <c r="G202" s="5" t="s">
        <v>30</v>
      </c>
      <c r="H202" s="5">
        <v>100</v>
      </c>
      <c r="I202" s="7">
        <v>4536.8</v>
      </c>
      <c r="J202" s="9">
        <v>250</v>
      </c>
      <c r="K202" s="9">
        <v>25</v>
      </c>
      <c r="L202" s="9" t="s">
        <v>31</v>
      </c>
      <c r="M202" s="15">
        <f t="shared" si="5"/>
        <v>453955</v>
      </c>
      <c r="N202" s="19">
        <v>0</v>
      </c>
    </row>
    <row r="203" spans="1:14" x14ac:dyDescent="0.45">
      <c r="A203" s="4">
        <v>44799</v>
      </c>
      <c r="B203" s="4">
        <v>44803</v>
      </c>
      <c r="C203" s="5">
        <v>8058</v>
      </c>
      <c r="D203" s="9" t="s">
        <v>72</v>
      </c>
      <c r="E203" s="5" t="s">
        <v>67</v>
      </c>
      <c r="F203" s="5" t="s">
        <v>29</v>
      </c>
      <c r="G203" s="5" t="s">
        <v>41</v>
      </c>
      <c r="H203" s="5">
        <v>100</v>
      </c>
      <c r="I203" s="7">
        <v>4554.2</v>
      </c>
      <c r="J203" s="9">
        <v>250</v>
      </c>
      <c r="K203" s="9">
        <v>25</v>
      </c>
      <c r="L203" s="9" t="s">
        <v>90</v>
      </c>
      <c r="M203" s="15">
        <f t="shared" si="5"/>
        <v>455145</v>
      </c>
      <c r="N203" s="19">
        <v>1190</v>
      </c>
    </row>
    <row r="204" spans="1:14" x14ac:dyDescent="0.45">
      <c r="A204" s="4">
        <v>44799</v>
      </c>
      <c r="B204" s="4">
        <v>44803</v>
      </c>
      <c r="C204" s="5">
        <v>8766</v>
      </c>
      <c r="D204" s="9" t="s">
        <v>44</v>
      </c>
      <c r="E204" s="5" t="s">
        <v>67</v>
      </c>
      <c r="F204" s="5" t="s">
        <v>29</v>
      </c>
      <c r="G204" s="5" t="s">
        <v>41</v>
      </c>
      <c r="H204" s="5">
        <v>100</v>
      </c>
      <c r="I204" s="7">
        <v>7721</v>
      </c>
      <c r="J204" s="9">
        <v>487</v>
      </c>
      <c r="K204" s="9">
        <v>48</v>
      </c>
      <c r="L204" s="9" t="s">
        <v>90</v>
      </c>
      <c r="M204" s="15">
        <f t="shared" si="5"/>
        <v>771565</v>
      </c>
      <c r="N204" s="19">
        <v>18780</v>
      </c>
    </row>
    <row r="205" spans="1:14" x14ac:dyDescent="0.45">
      <c r="A205" s="4">
        <v>44803</v>
      </c>
      <c r="B205" s="4">
        <v>44805</v>
      </c>
      <c r="C205" s="5">
        <v>9308</v>
      </c>
      <c r="D205" s="9" t="s">
        <v>70</v>
      </c>
      <c r="E205" s="5" t="s">
        <v>67</v>
      </c>
      <c r="F205" s="5" t="s">
        <v>29</v>
      </c>
      <c r="G205" s="5" t="s">
        <v>30</v>
      </c>
      <c r="H205" s="5">
        <v>100</v>
      </c>
      <c r="I205" s="7">
        <v>2165</v>
      </c>
      <c r="J205" s="9">
        <v>250</v>
      </c>
      <c r="K205" s="9">
        <v>25</v>
      </c>
      <c r="L205" s="9" t="s">
        <v>31</v>
      </c>
      <c r="M205" s="15">
        <f t="shared" si="5"/>
        <v>216775</v>
      </c>
      <c r="N205" s="19">
        <v>0</v>
      </c>
    </row>
    <row r="206" spans="1:14" x14ac:dyDescent="0.45">
      <c r="A206" s="4">
        <v>44804</v>
      </c>
      <c r="B206" s="4">
        <v>44806</v>
      </c>
      <c r="C206" s="5">
        <v>8058</v>
      </c>
      <c r="D206" s="9" t="s">
        <v>72</v>
      </c>
      <c r="E206" s="5" t="s">
        <v>67</v>
      </c>
      <c r="F206" s="5" t="s">
        <v>29</v>
      </c>
      <c r="G206" s="5" t="s">
        <v>30</v>
      </c>
      <c r="H206" s="5">
        <v>100</v>
      </c>
      <c r="I206" s="7">
        <v>4574.8</v>
      </c>
      <c r="J206" s="9">
        <v>250</v>
      </c>
      <c r="K206" s="9">
        <v>25</v>
      </c>
      <c r="L206" s="9" t="s">
        <v>31</v>
      </c>
      <c r="M206" s="15">
        <f t="shared" si="5"/>
        <v>457755</v>
      </c>
      <c r="N206" s="19">
        <v>0</v>
      </c>
    </row>
    <row r="207" spans="1:14" x14ac:dyDescent="0.45">
      <c r="A207" s="4">
        <v>44820</v>
      </c>
      <c r="B207" s="4">
        <v>44825</v>
      </c>
      <c r="C207" s="5">
        <v>9101</v>
      </c>
      <c r="D207" s="9" t="s">
        <v>94</v>
      </c>
      <c r="E207" s="5" t="s">
        <v>67</v>
      </c>
      <c r="F207" s="5" t="s">
        <v>29</v>
      </c>
      <c r="G207" s="5" t="s">
        <v>30</v>
      </c>
      <c r="H207" s="5">
        <v>100</v>
      </c>
      <c r="I207" s="7">
        <v>9790</v>
      </c>
      <c r="J207" s="9">
        <v>487</v>
      </c>
      <c r="K207" s="9">
        <v>48</v>
      </c>
      <c r="L207" s="9" t="s">
        <v>31</v>
      </c>
      <c r="M207" s="15">
        <f t="shared" si="5"/>
        <v>979535</v>
      </c>
      <c r="N207" s="19">
        <v>0</v>
      </c>
    </row>
    <row r="208" spans="1:14" x14ac:dyDescent="0.45">
      <c r="A208" s="4">
        <v>44832</v>
      </c>
      <c r="B208" s="4">
        <v>44834</v>
      </c>
      <c r="C208" s="5">
        <v>9101</v>
      </c>
      <c r="D208" s="9" t="s">
        <v>94</v>
      </c>
      <c r="E208" s="5" t="s">
        <v>67</v>
      </c>
      <c r="F208" s="5" t="s">
        <v>29</v>
      </c>
      <c r="G208" s="5" t="s">
        <v>41</v>
      </c>
      <c r="H208" s="5">
        <v>100</v>
      </c>
      <c r="I208" s="7">
        <v>9080</v>
      </c>
      <c r="J208" s="9">
        <v>487</v>
      </c>
      <c r="K208" s="9">
        <v>48</v>
      </c>
      <c r="L208" s="9" t="s">
        <v>90</v>
      </c>
      <c r="M208" s="15">
        <f t="shared" si="5"/>
        <v>907465</v>
      </c>
      <c r="N208" s="21">
        <v>-166123</v>
      </c>
    </row>
    <row r="209" spans="1:14" x14ac:dyDescent="0.45">
      <c r="A209" s="4">
        <v>44832</v>
      </c>
      <c r="B209" s="4">
        <v>44834</v>
      </c>
      <c r="C209" s="5">
        <v>9101</v>
      </c>
      <c r="D209" s="9" t="s">
        <v>94</v>
      </c>
      <c r="E209" s="5" t="s">
        <v>67</v>
      </c>
      <c r="F209" s="5" t="s">
        <v>29</v>
      </c>
      <c r="G209" s="5" t="s">
        <v>41</v>
      </c>
      <c r="H209" s="5">
        <v>100</v>
      </c>
      <c r="I209" s="7">
        <v>8980</v>
      </c>
      <c r="J209" s="9">
        <v>487</v>
      </c>
      <c r="K209" s="9">
        <v>48</v>
      </c>
      <c r="L209" s="9" t="s">
        <v>90</v>
      </c>
      <c r="M209" s="15">
        <f t="shared" si="5"/>
        <v>897465</v>
      </c>
      <c r="N209" s="21">
        <v>-126122</v>
      </c>
    </row>
    <row r="210" spans="1:14" x14ac:dyDescent="0.45">
      <c r="A210" s="4">
        <v>44846</v>
      </c>
      <c r="B210" s="4">
        <v>44848</v>
      </c>
      <c r="C210" s="5">
        <v>9202</v>
      </c>
      <c r="D210" s="9" t="s">
        <v>120</v>
      </c>
      <c r="E210" s="5" t="s">
        <v>67</v>
      </c>
      <c r="F210" s="5" t="s">
        <v>29</v>
      </c>
      <c r="G210" s="5" t="s">
        <v>30</v>
      </c>
      <c r="H210" s="5">
        <v>100</v>
      </c>
      <c r="I210" s="7">
        <v>2903</v>
      </c>
      <c r="J210" s="9">
        <v>250</v>
      </c>
      <c r="K210" s="9">
        <v>25</v>
      </c>
      <c r="L210" s="9" t="s">
        <v>31</v>
      </c>
      <c r="M210" s="15">
        <f t="shared" si="5"/>
        <v>290575</v>
      </c>
      <c r="N210" s="19">
        <v>0</v>
      </c>
    </row>
    <row r="211" spans="1:14" x14ac:dyDescent="0.45">
      <c r="A211" s="4">
        <v>44869</v>
      </c>
      <c r="B211" s="4">
        <v>44873</v>
      </c>
      <c r="C211" s="5">
        <v>6971</v>
      </c>
      <c r="D211" s="9" t="s">
        <v>124</v>
      </c>
      <c r="E211" s="5" t="s">
        <v>67</v>
      </c>
      <c r="F211" s="5" t="s">
        <v>29</v>
      </c>
      <c r="G211" s="5" t="s">
        <v>30</v>
      </c>
      <c r="H211" s="5">
        <v>100</v>
      </c>
      <c r="I211" s="7">
        <v>6630</v>
      </c>
      <c r="J211" s="9">
        <v>487</v>
      </c>
      <c r="K211" s="9">
        <v>48</v>
      </c>
      <c r="L211" s="9" t="s">
        <v>31</v>
      </c>
      <c r="M211" s="15">
        <f t="shared" si="5"/>
        <v>663535</v>
      </c>
      <c r="N211" s="19">
        <v>0</v>
      </c>
    </row>
    <row r="212" spans="1:14" x14ac:dyDescent="0.45">
      <c r="A212" s="4">
        <v>44874</v>
      </c>
      <c r="B212" s="4">
        <v>44876</v>
      </c>
      <c r="C212" s="5">
        <v>9104</v>
      </c>
      <c r="D212" s="9" t="s">
        <v>91</v>
      </c>
      <c r="E212" s="5" t="s">
        <v>67</v>
      </c>
      <c r="F212" s="5" t="s">
        <v>29</v>
      </c>
      <c r="G212" s="5" t="s">
        <v>30</v>
      </c>
      <c r="H212" s="5">
        <v>100</v>
      </c>
      <c r="I212" s="7">
        <v>3050</v>
      </c>
      <c r="J212" s="9">
        <v>250</v>
      </c>
      <c r="K212" s="9">
        <v>25</v>
      </c>
      <c r="L212" s="9" t="s">
        <v>31</v>
      </c>
      <c r="M212" s="15">
        <f t="shared" si="5"/>
        <v>305275</v>
      </c>
      <c r="N212" s="19">
        <v>0</v>
      </c>
    </row>
    <row r="213" spans="1:14" x14ac:dyDescent="0.45">
      <c r="A213" s="4">
        <v>44890</v>
      </c>
      <c r="B213" s="4">
        <v>44894</v>
      </c>
      <c r="C213" s="5">
        <v>7947</v>
      </c>
      <c r="D213" s="9" t="s">
        <v>127</v>
      </c>
      <c r="E213" s="5" t="s">
        <v>67</v>
      </c>
      <c r="F213" s="5" t="s">
        <v>29</v>
      </c>
      <c r="G213" s="5" t="s">
        <v>30</v>
      </c>
      <c r="H213" s="5">
        <v>100</v>
      </c>
      <c r="I213" s="7">
        <v>3885</v>
      </c>
      <c r="J213" s="9">
        <v>250</v>
      </c>
      <c r="K213" s="9">
        <v>25</v>
      </c>
      <c r="L213" s="9" t="s">
        <v>31</v>
      </c>
      <c r="M213" s="15">
        <f t="shared" si="5"/>
        <v>388775</v>
      </c>
      <c r="N213" s="19">
        <v>0</v>
      </c>
    </row>
    <row r="214" spans="1:14" x14ac:dyDescent="0.45">
      <c r="A214" s="4">
        <v>44900</v>
      </c>
      <c r="B214" s="4">
        <v>44902</v>
      </c>
      <c r="C214" s="5">
        <v>7947</v>
      </c>
      <c r="D214" s="9" t="s">
        <v>127</v>
      </c>
      <c r="E214" s="5" t="s">
        <v>67</v>
      </c>
      <c r="F214" s="5" t="s">
        <v>29</v>
      </c>
      <c r="G214" s="5" t="s">
        <v>30</v>
      </c>
      <c r="H214" s="5">
        <v>100</v>
      </c>
      <c r="I214" s="7">
        <v>3675</v>
      </c>
      <c r="J214" s="9">
        <v>250</v>
      </c>
      <c r="K214" s="9">
        <v>25</v>
      </c>
      <c r="L214" s="9" t="s">
        <v>31</v>
      </c>
      <c r="M214" s="15">
        <f t="shared" si="5"/>
        <v>367775</v>
      </c>
      <c r="N214" s="19">
        <v>0</v>
      </c>
    </row>
    <row r="215" spans="1:14" x14ac:dyDescent="0.45">
      <c r="A215" s="4">
        <v>44902</v>
      </c>
      <c r="B215" s="4">
        <v>44904</v>
      </c>
      <c r="C215" s="5">
        <v>9810</v>
      </c>
      <c r="D215" s="9" t="s">
        <v>74</v>
      </c>
      <c r="E215" s="5" t="s">
        <v>67</v>
      </c>
      <c r="F215" s="5" t="s">
        <v>29</v>
      </c>
      <c r="G215" s="5" t="s">
        <v>30</v>
      </c>
      <c r="H215" s="5">
        <v>100</v>
      </c>
      <c r="I215" s="7">
        <v>5070</v>
      </c>
      <c r="J215" s="9">
        <v>487</v>
      </c>
      <c r="K215" s="9">
        <v>48</v>
      </c>
      <c r="L215" s="9" t="s">
        <v>31</v>
      </c>
      <c r="M215" s="15">
        <f t="shared" si="5"/>
        <v>507535</v>
      </c>
      <c r="N215" s="19">
        <v>0</v>
      </c>
    </row>
    <row r="216" spans="1:14" x14ac:dyDescent="0.45">
      <c r="A216" s="4">
        <v>44909</v>
      </c>
      <c r="B216" s="4">
        <v>44911</v>
      </c>
      <c r="C216" s="5">
        <v>7012</v>
      </c>
      <c r="D216" s="9" t="s">
        <v>69</v>
      </c>
      <c r="E216" s="5" t="s">
        <v>67</v>
      </c>
      <c r="F216" s="5" t="s">
        <v>29</v>
      </c>
      <c r="G216" s="5" t="s">
        <v>41</v>
      </c>
      <c r="H216" s="5">
        <v>100</v>
      </c>
      <c r="I216" s="7">
        <v>3070</v>
      </c>
      <c r="J216" s="9">
        <v>250</v>
      </c>
      <c r="K216" s="9">
        <v>25</v>
      </c>
      <c r="L216" s="9" t="s">
        <v>90</v>
      </c>
      <c r="M216" s="15">
        <f t="shared" si="5"/>
        <v>306725</v>
      </c>
      <c r="N216" s="19">
        <v>9450</v>
      </c>
    </row>
    <row r="217" spans="1:14" x14ac:dyDescent="0.45">
      <c r="A217" s="4">
        <v>44916</v>
      </c>
      <c r="B217" s="4">
        <v>44918</v>
      </c>
      <c r="C217" s="5">
        <v>5108</v>
      </c>
      <c r="D217" s="9" t="s">
        <v>128</v>
      </c>
      <c r="E217" s="5" t="s">
        <v>67</v>
      </c>
      <c r="F217" s="5" t="s">
        <v>29</v>
      </c>
      <c r="G217" s="5" t="s">
        <v>30</v>
      </c>
      <c r="H217" s="5">
        <v>100</v>
      </c>
      <c r="I217" s="7">
        <v>4838</v>
      </c>
      <c r="J217" s="9">
        <v>250</v>
      </c>
      <c r="K217" s="9">
        <v>25</v>
      </c>
      <c r="L217" s="9" t="s">
        <v>31</v>
      </c>
      <c r="M217" s="15">
        <f t="shared" si="5"/>
        <v>484075</v>
      </c>
      <c r="N217" s="19">
        <v>0</v>
      </c>
    </row>
    <row r="218" spans="1:14" x14ac:dyDescent="0.45">
      <c r="A218" s="4">
        <v>44922</v>
      </c>
      <c r="B218" s="4">
        <v>44924</v>
      </c>
      <c r="C218" s="5">
        <v>3036</v>
      </c>
      <c r="D218" s="9" t="s">
        <v>129</v>
      </c>
      <c r="E218" s="5" t="s">
        <v>67</v>
      </c>
      <c r="F218" s="5" t="s">
        <v>29</v>
      </c>
      <c r="G218" s="5" t="s">
        <v>30</v>
      </c>
      <c r="H218" s="5">
        <v>100</v>
      </c>
      <c r="I218" s="7">
        <v>1310</v>
      </c>
      <c r="J218" s="9">
        <v>105</v>
      </c>
      <c r="K218" s="9">
        <v>10</v>
      </c>
      <c r="L218" s="9" t="s">
        <v>31</v>
      </c>
      <c r="M218" s="15">
        <f t="shared" si="5"/>
        <v>131115</v>
      </c>
      <c r="N218" s="19">
        <v>0</v>
      </c>
    </row>
    <row r="219" spans="1:14" x14ac:dyDescent="0.45">
      <c r="A219" s="4">
        <v>44922</v>
      </c>
      <c r="B219" s="4">
        <v>44924</v>
      </c>
      <c r="C219" s="5">
        <v>8058</v>
      </c>
      <c r="D219" s="9" t="s">
        <v>72</v>
      </c>
      <c r="E219" s="5" t="s">
        <v>67</v>
      </c>
      <c r="F219" s="5" t="s">
        <v>29</v>
      </c>
      <c r="G219" s="5" t="s">
        <v>30</v>
      </c>
      <c r="H219" s="5">
        <v>100</v>
      </c>
      <c r="I219" s="7">
        <v>4331</v>
      </c>
      <c r="J219" s="9">
        <v>250</v>
      </c>
      <c r="K219" s="9">
        <v>25</v>
      </c>
      <c r="L219" s="9" t="s">
        <v>31</v>
      </c>
      <c r="M219" s="15">
        <f t="shared" si="5"/>
        <v>433375</v>
      </c>
      <c r="N219" s="19">
        <v>0</v>
      </c>
    </row>
    <row r="220" spans="1:14" x14ac:dyDescent="0.45">
      <c r="A220" s="4">
        <v>44922</v>
      </c>
      <c r="B220" s="4">
        <v>44924</v>
      </c>
      <c r="C220" s="5">
        <v>9101</v>
      </c>
      <c r="D220" s="9" t="s">
        <v>94</v>
      </c>
      <c r="E220" s="5" t="s">
        <v>67</v>
      </c>
      <c r="F220" s="5" t="s">
        <v>29</v>
      </c>
      <c r="G220" s="5" t="s">
        <v>30</v>
      </c>
      <c r="H220" s="5">
        <v>100</v>
      </c>
      <c r="I220" s="7">
        <v>3190</v>
      </c>
      <c r="J220" s="9">
        <v>250</v>
      </c>
      <c r="K220" s="9">
        <v>25</v>
      </c>
      <c r="L220" s="9" t="s">
        <v>31</v>
      </c>
      <c r="M220" s="15">
        <f t="shared" si="5"/>
        <v>319275</v>
      </c>
      <c r="N220" s="19">
        <v>0</v>
      </c>
    </row>
    <row r="221" spans="1:14" x14ac:dyDescent="0.45">
      <c r="A221" s="4">
        <v>44924</v>
      </c>
      <c r="B221" s="4">
        <v>44930</v>
      </c>
      <c r="C221" s="5">
        <v>7733</v>
      </c>
      <c r="D221" s="9" t="s">
        <v>130</v>
      </c>
      <c r="E221" s="5" t="s">
        <v>67</v>
      </c>
      <c r="F221" s="5" t="s">
        <v>29</v>
      </c>
      <c r="G221" s="5" t="s">
        <v>30</v>
      </c>
      <c r="H221" s="5">
        <v>100</v>
      </c>
      <c r="I221" s="7">
        <v>2353</v>
      </c>
      <c r="J221" s="9">
        <v>250</v>
      </c>
      <c r="K221" s="9">
        <v>25</v>
      </c>
      <c r="L221" s="9" t="s">
        <v>31</v>
      </c>
      <c r="M221" s="15">
        <f t="shared" si="5"/>
        <v>235575</v>
      </c>
      <c r="N221" s="19">
        <v>0</v>
      </c>
    </row>
    <row r="222" spans="1:14" x14ac:dyDescent="0.45">
      <c r="A222" s="4">
        <v>44924</v>
      </c>
      <c r="B222" s="4">
        <v>44930</v>
      </c>
      <c r="C222" s="5">
        <v>9602</v>
      </c>
      <c r="D222" s="9" t="s">
        <v>131</v>
      </c>
      <c r="E222" s="5" t="s">
        <v>67</v>
      </c>
      <c r="F222" s="5" t="s">
        <v>29</v>
      </c>
      <c r="G222" s="5" t="s">
        <v>30</v>
      </c>
      <c r="H222" s="5">
        <v>100</v>
      </c>
      <c r="I222" s="7">
        <v>5100</v>
      </c>
      <c r="J222" s="9">
        <v>487</v>
      </c>
      <c r="K222" s="9">
        <v>48</v>
      </c>
      <c r="L222" s="9" t="s">
        <v>31</v>
      </c>
      <c r="M222" s="15">
        <f t="shared" si="5"/>
        <v>510535</v>
      </c>
      <c r="N222" s="19">
        <v>0</v>
      </c>
    </row>
    <row r="223" spans="1:14" x14ac:dyDescent="0.45">
      <c r="A223" s="4">
        <v>44924</v>
      </c>
      <c r="B223" s="4">
        <v>44930</v>
      </c>
      <c r="C223" s="5">
        <v>9810</v>
      </c>
      <c r="D223" s="9" t="s">
        <v>74</v>
      </c>
      <c r="E223" s="5" t="s">
        <v>67</v>
      </c>
      <c r="F223" s="5" t="s">
        <v>29</v>
      </c>
      <c r="G223" s="5" t="s">
        <v>41</v>
      </c>
      <c r="H223" s="5">
        <v>100</v>
      </c>
      <c r="I223" s="7">
        <v>9240</v>
      </c>
      <c r="J223" s="9">
        <v>487</v>
      </c>
      <c r="K223" s="9">
        <v>48</v>
      </c>
      <c r="L223" s="9" t="s">
        <v>90</v>
      </c>
      <c r="M223" s="15">
        <f t="shared" si="5"/>
        <v>923465</v>
      </c>
      <c r="N223" s="19">
        <v>417000</v>
      </c>
    </row>
    <row r="224" spans="1:14" x14ac:dyDescent="0.45">
      <c r="A224" s="4">
        <v>44951</v>
      </c>
      <c r="B224" s="4">
        <v>44953</v>
      </c>
      <c r="C224" s="5">
        <v>7733</v>
      </c>
      <c r="D224" s="9" t="s">
        <v>130</v>
      </c>
      <c r="E224" s="5" t="s">
        <v>67</v>
      </c>
      <c r="F224" s="5" t="s">
        <v>29</v>
      </c>
      <c r="G224" s="5" t="s">
        <v>41</v>
      </c>
      <c r="H224" s="5">
        <v>100</v>
      </c>
      <c r="I224" s="7">
        <v>2421</v>
      </c>
      <c r="J224" s="9">
        <v>250</v>
      </c>
      <c r="K224" s="9">
        <v>25</v>
      </c>
      <c r="L224" s="9" t="s">
        <v>90</v>
      </c>
      <c r="M224" s="15">
        <f t="shared" si="5"/>
        <v>241825</v>
      </c>
      <c r="N224" s="19">
        <f>M224-M221</f>
        <v>6250</v>
      </c>
    </row>
    <row r="225" spans="1:14" x14ac:dyDescent="0.45">
      <c r="A225" s="4">
        <v>44958</v>
      </c>
      <c r="B225" s="4">
        <v>44960</v>
      </c>
      <c r="C225" s="5">
        <v>7974</v>
      </c>
      <c r="D225" s="9" t="s">
        <v>174</v>
      </c>
      <c r="E225" s="5" t="s">
        <v>68</v>
      </c>
      <c r="F225" s="5" t="s">
        <v>175</v>
      </c>
      <c r="G225" s="5" t="s">
        <v>176</v>
      </c>
      <c r="H225" s="5">
        <v>100</v>
      </c>
      <c r="I225" s="7">
        <v>5580</v>
      </c>
      <c r="J225" s="9">
        <v>487</v>
      </c>
      <c r="K225" s="9">
        <v>48</v>
      </c>
      <c r="L225" s="8" t="s">
        <v>177</v>
      </c>
      <c r="M225" s="15">
        <f t="shared" si="5"/>
        <v>558535</v>
      </c>
      <c r="N225" s="19">
        <v>0</v>
      </c>
    </row>
    <row r="226" spans="1:14" x14ac:dyDescent="0.45">
      <c r="A226" s="4">
        <v>44964</v>
      </c>
      <c r="B226" s="4">
        <v>44966</v>
      </c>
      <c r="C226" s="5">
        <v>3036</v>
      </c>
      <c r="D226" s="9" t="s">
        <v>129</v>
      </c>
      <c r="E226" s="5" t="s">
        <v>68</v>
      </c>
      <c r="F226" s="5" t="s">
        <v>175</v>
      </c>
      <c r="G226" s="5" t="s">
        <v>178</v>
      </c>
      <c r="H226" s="5">
        <v>100</v>
      </c>
      <c r="I226" s="25">
        <v>1373.3</v>
      </c>
      <c r="J226" s="9">
        <v>105</v>
      </c>
      <c r="K226" s="9">
        <v>10</v>
      </c>
      <c r="L226" s="9" t="s">
        <v>90</v>
      </c>
      <c r="M226" s="15">
        <f t="shared" si="5"/>
        <v>137215</v>
      </c>
      <c r="N226" s="19">
        <v>6100</v>
      </c>
    </row>
    <row r="227" spans="1:14" x14ac:dyDescent="0.45">
      <c r="A227" s="4">
        <v>44966</v>
      </c>
      <c r="B227" s="4">
        <v>44970</v>
      </c>
      <c r="C227" s="5">
        <v>9101</v>
      </c>
      <c r="D227" s="9" t="s">
        <v>94</v>
      </c>
      <c r="E227" s="5" t="s">
        <v>68</v>
      </c>
      <c r="F227" s="5" t="s">
        <v>175</v>
      </c>
      <c r="G227" s="5" t="s">
        <v>178</v>
      </c>
      <c r="H227" s="5">
        <v>100</v>
      </c>
      <c r="I227" s="7">
        <v>3205.1</v>
      </c>
      <c r="J227" s="9">
        <v>250</v>
      </c>
      <c r="K227" s="9">
        <v>25</v>
      </c>
      <c r="L227" s="9" t="s">
        <v>90</v>
      </c>
      <c r="M227" s="15">
        <f t="shared" si="5"/>
        <v>320235</v>
      </c>
      <c r="N227" s="19">
        <v>960</v>
      </c>
    </row>
    <row r="228" spans="1:14" x14ac:dyDescent="0.45">
      <c r="A228" s="4">
        <v>44971</v>
      </c>
      <c r="B228" s="4">
        <v>44973</v>
      </c>
      <c r="C228" s="5">
        <v>5108</v>
      </c>
      <c r="D228" s="9" t="s">
        <v>128</v>
      </c>
      <c r="E228" s="5" t="s">
        <v>68</v>
      </c>
      <c r="F228" s="5" t="s">
        <v>175</v>
      </c>
      <c r="G228" s="5" t="s">
        <v>178</v>
      </c>
      <c r="H228" s="5">
        <v>100</v>
      </c>
      <c r="I228" s="7">
        <v>4860</v>
      </c>
      <c r="J228" s="9">
        <v>250</v>
      </c>
      <c r="K228" s="9">
        <v>25</v>
      </c>
      <c r="L228" s="9" t="s">
        <v>90</v>
      </c>
      <c r="M228" s="15">
        <f t="shared" si="5"/>
        <v>485725</v>
      </c>
      <c r="N228" s="19">
        <v>1650</v>
      </c>
    </row>
    <row r="229" spans="1:14" x14ac:dyDescent="0.45">
      <c r="A229" s="4">
        <v>44972</v>
      </c>
      <c r="B229" s="4">
        <v>44974</v>
      </c>
      <c r="C229" s="5">
        <v>8058</v>
      </c>
      <c r="D229" s="9" t="s">
        <v>72</v>
      </c>
      <c r="E229" s="5" t="s">
        <v>68</v>
      </c>
      <c r="F229" s="5" t="s">
        <v>175</v>
      </c>
      <c r="G229" s="5" t="s">
        <v>178</v>
      </c>
      <c r="H229" s="5">
        <v>100</v>
      </c>
      <c r="I229" s="7">
        <v>4649.5</v>
      </c>
      <c r="J229" s="9">
        <v>250</v>
      </c>
      <c r="K229" s="9">
        <v>25</v>
      </c>
      <c r="L229" s="9" t="s">
        <v>90</v>
      </c>
      <c r="M229" s="15">
        <f t="shared" si="5"/>
        <v>464675</v>
      </c>
      <c r="N229" s="19">
        <v>19110</v>
      </c>
    </row>
    <row r="230" spans="1:14" x14ac:dyDescent="0.45">
      <c r="A230" s="4">
        <v>44972</v>
      </c>
      <c r="B230" s="4">
        <v>44974</v>
      </c>
      <c r="C230" s="5">
        <v>8058</v>
      </c>
      <c r="D230" s="9" t="s">
        <v>72</v>
      </c>
      <c r="E230" s="5" t="s">
        <v>68</v>
      </c>
      <c r="F230" s="5" t="s">
        <v>175</v>
      </c>
      <c r="G230" s="5" t="s">
        <v>178</v>
      </c>
      <c r="H230" s="5">
        <v>100</v>
      </c>
      <c r="I230" s="7">
        <v>4649</v>
      </c>
      <c r="J230" s="9">
        <v>250</v>
      </c>
      <c r="K230" s="9">
        <v>25</v>
      </c>
      <c r="L230" s="9" t="s">
        <v>90</v>
      </c>
      <c r="M230" s="15">
        <f t="shared" ref="M230:M293" si="6">IF(G230="買付",H230*I230+SUM(J230:K230),H230*I230-SUM(J230:K230))</f>
        <v>464625</v>
      </c>
      <c r="N230" s="19">
        <v>19060</v>
      </c>
    </row>
    <row r="231" spans="1:14" x14ac:dyDescent="0.45">
      <c r="A231" s="4">
        <v>44979</v>
      </c>
      <c r="B231" s="4">
        <v>44984</v>
      </c>
      <c r="C231" s="5">
        <v>5401</v>
      </c>
      <c r="D231" s="9" t="s">
        <v>180</v>
      </c>
      <c r="E231" s="5" t="s">
        <v>68</v>
      </c>
      <c r="F231" s="5" t="s">
        <v>175</v>
      </c>
      <c r="G231" s="5" t="s">
        <v>176</v>
      </c>
      <c r="H231" s="5">
        <v>100</v>
      </c>
      <c r="I231" s="12">
        <v>3069.6</v>
      </c>
      <c r="J231" s="9">
        <v>0</v>
      </c>
      <c r="K231" s="9">
        <v>0</v>
      </c>
      <c r="L231" s="9" t="s">
        <v>177</v>
      </c>
      <c r="M231" s="15">
        <f t="shared" si="6"/>
        <v>306960</v>
      </c>
      <c r="N231" s="19">
        <v>0</v>
      </c>
    </row>
    <row r="232" spans="1:14" x14ac:dyDescent="0.45">
      <c r="A232" s="4">
        <v>44979</v>
      </c>
      <c r="B232" s="4">
        <v>44984</v>
      </c>
      <c r="C232" s="5">
        <v>4503</v>
      </c>
      <c r="D232" s="9" t="s">
        <v>179</v>
      </c>
      <c r="E232" s="5" t="s">
        <v>68</v>
      </c>
      <c r="F232" s="5" t="s">
        <v>175</v>
      </c>
      <c r="G232" s="5" t="s">
        <v>176</v>
      </c>
      <c r="H232" s="5">
        <v>100</v>
      </c>
      <c r="I232" s="7">
        <v>1893</v>
      </c>
      <c r="J232" s="9">
        <v>0</v>
      </c>
      <c r="K232" s="23">
        <v>0</v>
      </c>
      <c r="L232" s="9" t="s">
        <v>177</v>
      </c>
      <c r="M232" s="15">
        <f t="shared" si="6"/>
        <v>189300</v>
      </c>
      <c r="N232" s="21">
        <v>0</v>
      </c>
    </row>
    <row r="233" spans="1:14" x14ac:dyDescent="0.45">
      <c r="A233" s="4">
        <v>44981</v>
      </c>
      <c r="B233" s="4">
        <v>44985</v>
      </c>
      <c r="C233" s="5">
        <v>9104</v>
      </c>
      <c r="D233" s="9" t="s">
        <v>91</v>
      </c>
      <c r="E233" s="5" t="s">
        <v>68</v>
      </c>
      <c r="F233" s="5" t="s">
        <v>175</v>
      </c>
      <c r="G233" s="5" t="s">
        <v>41</v>
      </c>
      <c r="H233" s="5">
        <v>100</v>
      </c>
      <c r="I233" s="7">
        <v>3595</v>
      </c>
      <c r="J233" s="9">
        <v>0</v>
      </c>
      <c r="K233" s="9">
        <v>0</v>
      </c>
      <c r="L233" s="9" t="s">
        <v>90</v>
      </c>
      <c r="M233" s="15">
        <f t="shared" si="6"/>
        <v>359500</v>
      </c>
      <c r="N233" s="19">
        <v>54225</v>
      </c>
    </row>
    <row r="234" spans="1:14" x14ac:dyDescent="0.45">
      <c r="A234" s="4">
        <v>44991</v>
      </c>
      <c r="B234" s="4">
        <v>44993</v>
      </c>
      <c r="C234" s="5">
        <v>4041</v>
      </c>
      <c r="D234" s="9" t="s">
        <v>181</v>
      </c>
      <c r="E234" s="5" t="s">
        <v>68</v>
      </c>
      <c r="F234" s="5" t="s">
        <v>175</v>
      </c>
      <c r="G234" s="5" t="s">
        <v>176</v>
      </c>
      <c r="H234" s="5">
        <v>100</v>
      </c>
      <c r="I234" s="25">
        <v>4810</v>
      </c>
      <c r="J234" s="9">
        <v>0</v>
      </c>
      <c r="K234" s="9">
        <v>0</v>
      </c>
      <c r="L234" s="9" t="s">
        <v>177</v>
      </c>
      <c r="M234" s="15">
        <f t="shared" si="6"/>
        <v>481000</v>
      </c>
      <c r="N234" s="19">
        <v>0</v>
      </c>
    </row>
    <row r="235" spans="1:14" x14ac:dyDescent="0.45">
      <c r="A235" s="4">
        <v>44995</v>
      </c>
      <c r="B235" s="4">
        <v>44999</v>
      </c>
      <c r="C235" s="5">
        <v>9308</v>
      </c>
      <c r="D235" s="9" t="s">
        <v>70</v>
      </c>
      <c r="E235" s="5" t="s">
        <v>68</v>
      </c>
      <c r="F235" s="5" t="s">
        <v>175</v>
      </c>
      <c r="G235" s="5" t="s">
        <v>178</v>
      </c>
      <c r="H235" s="5">
        <v>100</v>
      </c>
      <c r="I235" s="25">
        <v>2176</v>
      </c>
      <c r="J235" s="9">
        <v>0</v>
      </c>
      <c r="K235" s="9">
        <v>0</v>
      </c>
      <c r="L235" s="9" t="s">
        <v>90</v>
      </c>
      <c r="M235" s="15">
        <f t="shared" si="6"/>
        <v>217600</v>
      </c>
      <c r="N235" s="19">
        <v>825</v>
      </c>
    </row>
    <row r="236" spans="1:14" x14ac:dyDescent="0.45">
      <c r="A236" s="4">
        <v>44998</v>
      </c>
      <c r="B236" s="4">
        <v>45000</v>
      </c>
      <c r="C236" s="5">
        <v>7012</v>
      </c>
      <c r="D236" s="9" t="s">
        <v>183</v>
      </c>
      <c r="E236" s="5" t="s">
        <v>68</v>
      </c>
      <c r="F236" s="5" t="s">
        <v>175</v>
      </c>
      <c r="G236" s="5" t="s">
        <v>176</v>
      </c>
      <c r="H236" s="5">
        <v>100</v>
      </c>
      <c r="I236" s="25">
        <v>2887</v>
      </c>
      <c r="J236" s="9">
        <v>0</v>
      </c>
      <c r="K236" s="9">
        <v>0</v>
      </c>
      <c r="L236" s="9" t="s">
        <v>177</v>
      </c>
      <c r="M236" s="15">
        <f t="shared" si="6"/>
        <v>288700</v>
      </c>
      <c r="N236" s="19">
        <v>0</v>
      </c>
    </row>
    <row r="237" spans="1:14" x14ac:dyDescent="0.45">
      <c r="A237" s="4">
        <v>44998</v>
      </c>
      <c r="B237" s="4">
        <v>45000</v>
      </c>
      <c r="C237" s="5">
        <v>8584</v>
      </c>
      <c r="D237" s="9" t="s">
        <v>184</v>
      </c>
      <c r="E237" s="5" t="s">
        <v>68</v>
      </c>
      <c r="F237" s="5" t="s">
        <v>175</v>
      </c>
      <c r="G237" s="5" t="s">
        <v>176</v>
      </c>
      <c r="H237" s="5">
        <v>100</v>
      </c>
      <c r="I237" s="25">
        <v>4469.5</v>
      </c>
      <c r="J237" s="9">
        <v>0</v>
      </c>
      <c r="K237" s="9">
        <v>0</v>
      </c>
      <c r="L237" s="9" t="s">
        <v>177</v>
      </c>
      <c r="M237" s="15">
        <f t="shared" si="6"/>
        <v>446950</v>
      </c>
      <c r="N237" s="19">
        <v>0</v>
      </c>
    </row>
    <row r="238" spans="1:14" x14ac:dyDescent="0.45">
      <c r="A238" s="4">
        <v>44999</v>
      </c>
      <c r="B238" s="4">
        <v>45001</v>
      </c>
      <c r="C238" s="5">
        <v>4958</v>
      </c>
      <c r="D238" s="9" t="s">
        <v>185</v>
      </c>
      <c r="E238" s="5" t="s">
        <v>68</v>
      </c>
      <c r="F238" s="5" t="s">
        <v>175</v>
      </c>
      <c r="G238" s="5" t="s">
        <v>176</v>
      </c>
      <c r="H238" s="5">
        <v>100</v>
      </c>
      <c r="I238" s="25">
        <v>2830</v>
      </c>
      <c r="J238" s="9">
        <v>0</v>
      </c>
      <c r="K238" s="9">
        <v>0</v>
      </c>
      <c r="L238" s="9" t="s">
        <v>177</v>
      </c>
      <c r="M238" s="15">
        <f t="shared" si="6"/>
        <v>283000</v>
      </c>
      <c r="N238" s="19">
        <v>0</v>
      </c>
    </row>
    <row r="239" spans="1:14" x14ac:dyDescent="0.45">
      <c r="A239" s="4">
        <v>44999</v>
      </c>
      <c r="B239" s="4">
        <v>45001</v>
      </c>
      <c r="C239" s="5">
        <v>5108</v>
      </c>
      <c r="D239" s="9" t="s">
        <v>186</v>
      </c>
      <c r="E239" s="5" t="s">
        <v>68</v>
      </c>
      <c r="F239" s="5" t="s">
        <v>175</v>
      </c>
      <c r="G239" s="5" t="s">
        <v>176</v>
      </c>
      <c r="H239" s="5">
        <v>100</v>
      </c>
      <c r="I239" s="25">
        <v>5125</v>
      </c>
      <c r="J239" s="9">
        <v>0</v>
      </c>
      <c r="K239" s="9">
        <v>0</v>
      </c>
      <c r="L239" s="9" t="s">
        <v>177</v>
      </c>
      <c r="M239" s="15">
        <f t="shared" si="6"/>
        <v>512500</v>
      </c>
      <c r="N239" s="19">
        <v>0</v>
      </c>
    </row>
    <row r="240" spans="1:14" x14ac:dyDescent="0.45">
      <c r="A240" s="4">
        <v>45002</v>
      </c>
      <c r="B240" s="4">
        <v>45007</v>
      </c>
      <c r="C240" s="5">
        <v>6890</v>
      </c>
      <c r="D240" s="9" t="s">
        <v>187</v>
      </c>
      <c r="E240" s="5" t="s">
        <v>68</v>
      </c>
      <c r="F240" s="5" t="s">
        <v>175</v>
      </c>
      <c r="G240" s="5" t="s">
        <v>176</v>
      </c>
      <c r="H240" s="5">
        <v>100</v>
      </c>
      <c r="I240" s="25">
        <v>3050</v>
      </c>
      <c r="J240" s="9">
        <v>0</v>
      </c>
      <c r="K240" s="9">
        <v>0</v>
      </c>
      <c r="L240" s="9" t="s">
        <v>177</v>
      </c>
      <c r="M240" s="15">
        <f t="shared" si="6"/>
        <v>305000</v>
      </c>
      <c r="N240" s="19">
        <v>0</v>
      </c>
    </row>
    <row r="241" spans="1:14" x14ac:dyDescent="0.45">
      <c r="A241" s="4">
        <v>45007</v>
      </c>
      <c r="B241" s="4">
        <v>45009</v>
      </c>
      <c r="C241" s="5">
        <v>5108</v>
      </c>
      <c r="D241" s="9" t="s">
        <v>186</v>
      </c>
      <c r="E241" s="5" t="s">
        <v>68</v>
      </c>
      <c r="F241" s="5" t="s">
        <v>175</v>
      </c>
      <c r="G241" s="5" t="s">
        <v>178</v>
      </c>
      <c r="H241" s="5">
        <v>100</v>
      </c>
      <c r="I241" s="25">
        <v>5165.3</v>
      </c>
      <c r="J241" s="9">
        <v>0</v>
      </c>
      <c r="K241" s="9">
        <v>0</v>
      </c>
      <c r="L241" s="9" t="s">
        <v>90</v>
      </c>
      <c r="M241" s="15">
        <f t="shared" si="6"/>
        <v>516530</v>
      </c>
      <c r="N241" s="19">
        <v>4030</v>
      </c>
    </row>
    <row r="242" spans="1:14" x14ac:dyDescent="0.45">
      <c r="A242" s="4">
        <v>45019</v>
      </c>
      <c r="B242" s="4">
        <v>45021</v>
      </c>
      <c r="C242" s="5">
        <v>8058</v>
      </c>
      <c r="D242" s="9" t="s">
        <v>72</v>
      </c>
      <c r="E242" s="5" t="s">
        <v>68</v>
      </c>
      <c r="F242" s="5" t="s">
        <v>175</v>
      </c>
      <c r="G242" s="5" t="s">
        <v>176</v>
      </c>
      <c r="H242" s="5">
        <v>100</v>
      </c>
      <c r="I242" s="25">
        <v>4790</v>
      </c>
      <c r="J242" s="9">
        <v>0</v>
      </c>
      <c r="K242" s="9">
        <v>0</v>
      </c>
      <c r="L242" s="9" t="s">
        <v>177</v>
      </c>
      <c r="M242" s="15">
        <f t="shared" si="6"/>
        <v>479000</v>
      </c>
      <c r="N242" s="19">
        <v>0</v>
      </c>
    </row>
    <row r="243" spans="1:14" x14ac:dyDescent="0.45">
      <c r="A243" s="4">
        <v>45020</v>
      </c>
      <c r="B243" s="4">
        <v>45022</v>
      </c>
      <c r="C243" s="5">
        <v>6890</v>
      </c>
      <c r="D243" s="9" t="s">
        <v>187</v>
      </c>
      <c r="E243" s="5" t="s">
        <v>68</v>
      </c>
      <c r="F243" s="5" t="s">
        <v>175</v>
      </c>
      <c r="G243" s="5" t="s">
        <v>178</v>
      </c>
      <c r="H243" s="5">
        <v>100</v>
      </c>
      <c r="I243" s="25">
        <v>3225</v>
      </c>
      <c r="J243" s="9">
        <v>0</v>
      </c>
      <c r="K243" s="9">
        <v>0</v>
      </c>
      <c r="L243" s="9" t="s">
        <v>90</v>
      </c>
      <c r="M243" s="15">
        <f t="shared" si="6"/>
        <v>322500</v>
      </c>
      <c r="N243" s="19">
        <v>17500</v>
      </c>
    </row>
    <row r="244" spans="1:14" x14ac:dyDescent="0.45">
      <c r="A244" s="4">
        <v>45020</v>
      </c>
      <c r="B244" s="4">
        <v>45022</v>
      </c>
      <c r="C244" s="5">
        <v>4958</v>
      </c>
      <c r="D244" s="9" t="s">
        <v>185</v>
      </c>
      <c r="E244" s="5" t="s">
        <v>68</v>
      </c>
      <c r="F244" s="5" t="s">
        <v>175</v>
      </c>
      <c r="G244" s="5" t="s">
        <v>178</v>
      </c>
      <c r="H244" s="5">
        <v>100</v>
      </c>
      <c r="I244" s="25">
        <v>2980</v>
      </c>
      <c r="J244" s="9">
        <v>0</v>
      </c>
      <c r="K244" s="9">
        <v>0</v>
      </c>
      <c r="L244" s="9" t="s">
        <v>90</v>
      </c>
      <c r="M244" s="15">
        <f t="shared" si="6"/>
        <v>298000</v>
      </c>
      <c r="N244" s="19">
        <v>15000</v>
      </c>
    </row>
    <row r="245" spans="1:14" x14ac:dyDescent="0.45">
      <c r="A245" s="4">
        <v>45020</v>
      </c>
      <c r="B245" s="4">
        <v>45022</v>
      </c>
      <c r="C245" s="5">
        <v>5019</v>
      </c>
      <c r="D245" s="9" t="s">
        <v>188</v>
      </c>
      <c r="E245" s="5" t="s">
        <v>68</v>
      </c>
      <c r="F245" s="5" t="s">
        <v>175</v>
      </c>
      <c r="G245" s="5" t="s">
        <v>176</v>
      </c>
      <c r="H245" s="5">
        <v>100</v>
      </c>
      <c r="I245" s="28">
        <v>2980</v>
      </c>
      <c r="J245" s="9">
        <v>0</v>
      </c>
      <c r="K245" s="9">
        <v>0</v>
      </c>
      <c r="L245" s="9" t="s">
        <v>177</v>
      </c>
      <c r="M245" s="15">
        <f t="shared" si="6"/>
        <v>298000</v>
      </c>
      <c r="N245" s="19">
        <v>0</v>
      </c>
    </row>
    <row r="246" spans="1:14" x14ac:dyDescent="0.45">
      <c r="A246" s="4">
        <v>45021</v>
      </c>
      <c r="B246" s="4">
        <v>45023</v>
      </c>
      <c r="C246" s="5">
        <v>5393</v>
      </c>
      <c r="D246" s="9" t="s">
        <v>190</v>
      </c>
      <c r="E246" s="5" t="s">
        <v>68</v>
      </c>
      <c r="F246" s="5" t="s">
        <v>175</v>
      </c>
      <c r="G246" s="5" t="s">
        <v>176</v>
      </c>
      <c r="H246" s="5">
        <v>100</v>
      </c>
      <c r="I246" s="25">
        <v>2610</v>
      </c>
      <c r="J246" s="9">
        <v>0</v>
      </c>
      <c r="K246" s="9">
        <v>0</v>
      </c>
      <c r="L246" s="9" t="s">
        <v>177</v>
      </c>
      <c r="M246" s="15">
        <f t="shared" si="6"/>
        <v>261000</v>
      </c>
      <c r="N246" s="19">
        <v>0</v>
      </c>
    </row>
    <row r="247" spans="1:14" x14ac:dyDescent="0.45">
      <c r="A247" s="4">
        <v>45021</v>
      </c>
      <c r="B247" s="4">
        <v>45023</v>
      </c>
      <c r="C247" s="5">
        <v>9104</v>
      </c>
      <c r="D247" s="9" t="s">
        <v>191</v>
      </c>
      <c r="E247" s="5" t="s">
        <v>68</v>
      </c>
      <c r="F247" s="5" t="s">
        <v>175</v>
      </c>
      <c r="G247" s="5" t="s">
        <v>176</v>
      </c>
      <c r="H247" s="5">
        <v>100</v>
      </c>
      <c r="I247" s="25">
        <v>3400</v>
      </c>
      <c r="J247" s="9">
        <v>0</v>
      </c>
      <c r="K247" s="9">
        <v>0</v>
      </c>
      <c r="L247" s="9" t="s">
        <v>177</v>
      </c>
      <c r="M247" s="15">
        <f t="shared" si="6"/>
        <v>340000</v>
      </c>
      <c r="N247" s="19">
        <v>0</v>
      </c>
    </row>
    <row r="248" spans="1:14" x14ac:dyDescent="0.45">
      <c r="A248" s="4">
        <v>45022</v>
      </c>
      <c r="B248" s="4">
        <v>45026</v>
      </c>
      <c r="C248" s="5">
        <v>4063</v>
      </c>
      <c r="D248" s="9" t="s">
        <v>192</v>
      </c>
      <c r="E248" s="5" t="s">
        <v>68</v>
      </c>
      <c r="F248" s="5" t="s">
        <v>175</v>
      </c>
      <c r="G248" s="5" t="s">
        <v>176</v>
      </c>
      <c r="H248" s="5">
        <v>100</v>
      </c>
      <c r="I248" s="25">
        <v>3940</v>
      </c>
      <c r="J248" s="9">
        <v>0</v>
      </c>
      <c r="K248" s="9">
        <v>0</v>
      </c>
      <c r="L248" s="9" t="s">
        <v>177</v>
      </c>
      <c r="M248" s="15">
        <f t="shared" si="6"/>
        <v>394000</v>
      </c>
      <c r="N248" s="19">
        <v>0</v>
      </c>
    </row>
    <row r="249" spans="1:14" x14ac:dyDescent="0.45">
      <c r="A249" s="4">
        <v>45028</v>
      </c>
      <c r="B249" s="4">
        <v>45030</v>
      </c>
      <c r="C249" s="5">
        <v>6890</v>
      </c>
      <c r="D249" s="9" t="s">
        <v>187</v>
      </c>
      <c r="E249" s="5" t="s">
        <v>68</v>
      </c>
      <c r="F249" s="5" t="s">
        <v>175</v>
      </c>
      <c r="G249" s="5" t="s">
        <v>176</v>
      </c>
      <c r="H249" s="5">
        <v>100</v>
      </c>
      <c r="I249" s="28">
        <v>3075</v>
      </c>
      <c r="J249" s="9">
        <v>0</v>
      </c>
      <c r="K249" s="9">
        <v>0</v>
      </c>
      <c r="L249" s="9" t="s">
        <v>177</v>
      </c>
      <c r="M249" s="15">
        <f t="shared" si="6"/>
        <v>307500</v>
      </c>
      <c r="N249" s="19">
        <v>0</v>
      </c>
    </row>
    <row r="250" spans="1:14" x14ac:dyDescent="0.45">
      <c r="A250" s="4">
        <v>45030</v>
      </c>
      <c r="B250" s="4">
        <v>45034</v>
      </c>
      <c r="C250" s="5">
        <v>9104</v>
      </c>
      <c r="D250" s="9" t="s">
        <v>91</v>
      </c>
      <c r="E250" s="5" t="s">
        <v>68</v>
      </c>
      <c r="F250" s="5" t="s">
        <v>175</v>
      </c>
      <c r="G250" s="5" t="s">
        <v>178</v>
      </c>
      <c r="H250" s="5">
        <v>100</v>
      </c>
      <c r="I250" s="28">
        <v>3500</v>
      </c>
      <c r="J250" s="9">
        <v>0</v>
      </c>
      <c r="K250" s="9">
        <v>0</v>
      </c>
      <c r="L250" s="9" t="s">
        <v>90</v>
      </c>
      <c r="M250" s="15">
        <f t="shared" si="6"/>
        <v>350000</v>
      </c>
      <c r="N250" s="19">
        <v>10000</v>
      </c>
    </row>
    <row r="251" spans="1:14" x14ac:dyDescent="0.45">
      <c r="A251" s="4">
        <v>45030</v>
      </c>
      <c r="B251" s="4">
        <v>45034</v>
      </c>
      <c r="C251" s="5">
        <v>9602</v>
      </c>
      <c r="D251" s="9" t="s">
        <v>131</v>
      </c>
      <c r="E251" s="5" t="s">
        <v>68</v>
      </c>
      <c r="F251" s="5" t="s">
        <v>175</v>
      </c>
      <c r="G251" s="5" t="s">
        <v>178</v>
      </c>
      <c r="H251" s="5">
        <v>100</v>
      </c>
      <c r="I251" s="28">
        <v>5110</v>
      </c>
      <c r="J251" s="9">
        <v>0</v>
      </c>
      <c r="K251" s="9">
        <v>0</v>
      </c>
      <c r="L251" s="9" t="s">
        <v>90</v>
      </c>
      <c r="M251" s="15">
        <f t="shared" si="6"/>
        <v>511000</v>
      </c>
      <c r="N251" s="19">
        <v>465</v>
      </c>
    </row>
    <row r="252" spans="1:14" x14ac:dyDescent="0.45">
      <c r="A252" s="4">
        <v>45033</v>
      </c>
      <c r="B252" s="4">
        <v>45035</v>
      </c>
      <c r="C252" s="5">
        <v>3395</v>
      </c>
      <c r="D252" s="9" t="s">
        <v>77</v>
      </c>
      <c r="E252" s="5" t="s">
        <v>68</v>
      </c>
      <c r="F252" s="5" t="s">
        <v>175</v>
      </c>
      <c r="G252" s="5" t="s">
        <v>176</v>
      </c>
      <c r="H252" s="5">
        <v>100</v>
      </c>
      <c r="I252" s="28">
        <v>1813</v>
      </c>
      <c r="J252" s="9">
        <v>0</v>
      </c>
      <c r="K252" s="9">
        <v>0</v>
      </c>
      <c r="L252" s="9" t="s">
        <v>177</v>
      </c>
      <c r="M252" s="15">
        <f t="shared" si="6"/>
        <v>181300</v>
      </c>
      <c r="N252" s="19">
        <v>0</v>
      </c>
    </row>
    <row r="253" spans="1:14" x14ac:dyDescent="0.45">
      <c r="A253" s="4">
        <v>45034</v>
      </c>
      <c r="B253" s="4">
        <v>45036</v>
      </c>
      <c r="C253" s="5">
        <v>5393</v>
      </c>
      <c r="D253" s="9" t="s">
        <v>190</v>
      </c>
      <c r="E253" s="5" t="s">
        <v>68</v>
      </c>
      <c r="F253" s="5" t="s">
        <v>175</v>
      </c>
      <c r="G253" s="5" t="s">
        <v>178</v>
      </c>
      <c r="H253" s="5">
        <v>100</v>
      </c>
      <c r="I253" s="28">
        <v>2630</v>
      </c>
      <c r="J253" s="9">
        <v>0</v>
      </c>
      <c r="K253" s="9">
        <v>0</v>
      </c>
      <c r="L253" s="9" t="s">
        <v>90</v>
      </c>
      <c r="M253" s="15">
        <f t="shared" si="6"/>
        <v>263000</v>
      </c>
      <c r="N253" s="19">
        <v>2000</v>
      </c>
    </row>
    <row r="254" spans="1:14" x14ac:dyDescent="0.45">
      <c r="A254" s="4">
        <v>45034</v>
      </c>
      <c r="B254" s="4">
        <v>45036</v>
      </c>
      <c r="C254" s="5">
        <v>7012</v>
      </c>
      <c r="D254" s="9" t="s">
        <v>183</v>
      </c>
      <c r="E254" s="5" t="s">
        <v>68</v>
      </c>
      <c r="F254" s="5" t="s">
        <v>175</v>
      </c>
      <c r="G254" s="5" t="s">
        <v>178</v>
      </c>
      <c r="H254" s="5">
        <v>100</v>
      </c>
      <c r="I254" s="28">
        <v>2908</v>
      </c>
      <c r="J254" s="9">
        <v>0</v>
      </c>
      <c r="K254" s="9">
        <v>0</v>
      </c>
      <c r="L254" s="9" t="s">
        <v>90</v>
      </c>
      <c r="M254" s="15">
        <f t="shared" si="6"/>
        <v>290800</v>
      </c>
      <c r="N254" s="19">
        <v>2100</v>
      </c>
    </row>
    <row r="255" spans="1:14" x14ac:dyDescent="0.45">
      <c r="A255" s="4">
        <v>45034</v>
      </c>
      <c r="B255" s="4">
        <v>45036</v>
      </c>
      <c r="C255" s="5">
        <v>8267</v>
      </c>
      <c r="D255" s="9" t="s">
        <v>193</v>
      </c>
      <c r="E255" s="5" t="s">
        <v>68</v>
      </c>
      <c r="F255" s="5" t="s">
        <v>175</v>
      </c>
      <c r="G255" s="5" t="s">
        <v>176</v>
      </c>
      <c r="H255" s="5">
        <v>100</v>
      </c>
      <c r="I255" s="28">
        <v>2711</v>
      </c>
      <c r="J255" s="9">
        <v>0</v>
      </c>
      <c r="K255" s="9">
        <v>0</v>
      </c>
      <c r="L255" s="9" t="s">
        <v>177</v>
      </c>
      <c r="M255" s="15">
        <f t="shared" si="6"/>
        <v>271100</v>
      </c>
      <c r="N255" s="19">
        <v>0</v>
      </c>
    </row>
    <row r="256" spans="1:14" x14ac:dyDescent="0.45">
      <c r="A256" s="4">
        <v>45035</v>
      </c>
      <c r="B256" s="4">
        <v>45037</v>
      </c>
      <c r="C256" s="5">
        <v>5332</v>
      </c>
      <c r="D256" s="9" t="s">
        <v>194</v>
      </c>
      <c r="E256" s="5" t="s">
        <v>68</v>
      </c>
      <c r="F256" s="5" t="s">
        <v>175</v>
      </c>
      <c r="G256" s="5" t="s">
        <v>176</v>
      </c>
      <c r="H256" s="5">
        <v>100</v>
      </c>
      <c r="I256" s="28">
        <v>4579</v>
      </c>
      <c r="J256" s="9">
        <v>0</v>
      </c>
      <c r="K256" s="9">
        <v>0</v>
      </c>
      <c r="L256" s="9" t="s">
        <v>177</v>
      </c>
      <c r="M256" s="15">
        <f t="shared" si="6"/>
        <v>457900</v>
      </c>
      <c r="N256" s="19">
        <v>0</v>
      </c>
    </row>
    <row r="257" spans="1:14" x14ac:dyDescent="0.45">
      <c r="A257" s="4">
        <v>45037</v>
      </c>
      <c r="B257" s="4">
        <v>45041</v>
      </c>
      <c r="C257" s="5">
        <v>8031</v>
      </c>
      <c r="D257" s="9" t="s">
        <v>195</v>
      </c>
      <c r="E257" s="5" t="s">
        <v>68</v>
      </c>
      <c r="F257" s="5" t="s">
        <v>175</v>
      </c>
      <c r="G257" s="5" t="s">
        <v>176</v>
      </c>
      <c r="H257" s="5">
        <v>100</v>
      </c>
      <c r="I257" s="28">
        <v>4220</v>
      </c>
      <c r="J257" s="9">
        <v>0</v>
      </c>
      <c r="K257" s="9">
        <v>0</v>
      </c>
      <c r="L257" s="9" t="s">
        <v>177</v>
      </c>
      <c r="M257" s="15">
        <f t="shared" si="6"/>
        <v>422000</v>
      </c>
      <c r="N257" s="19">
        <v>0</v>
      </c>
    </row>
    <row r="258" spans="1:14" x14ac:dyDescent="0.45">
      <c r="A258" s="4">
        <v>45042</v>
      </c>
      <c r="B258" s="4">
        <v>45044</v>
      </c>
      <c r="C258" s="5">
        <v>8584</v>
      </c>
      <c r="D258" s="9" t="s">
        <v>184</v>
      </c>
      <c r="E258" s="5" t="s">
        <v>68</v>
      </c>
      <c r="F258" s="5" t="s">
        <v>175</v>
      </c>
      <c r="G258" s="5" t="s">
        <v>178</v>
      </c>
      <c r="H258" s="5">
        <v>100</v>
      </c>
      <c r="I258" s="28">
        <v>4480</v>
      </c>
      <c r="J258" s="9">
        <v>0</v>
      </c>
      <c r="K258" s="9">
        <v>0</v>
      </c>
      <c r="L258" s="9" t="s">
        <v>90</v>
      </c>
      <c r="M258" s="15">
        <f t="shared" si="6"/>
        <v>448000</v>
      </c>
      <c r="N258" s="19">
        <v>1050</v>
      </c>
    </row>
    <row r="259" spans="1:14" x14ac:dyDescent="0.45">
      <c r="A259" s="4">
        <v>45042</v>
      </c>
      <c r="B259" s="4">
        <v>45044</v>
      </c>
      <c r="C259" s="5">
        <v>9202</v>
      </c>
      <c r="D259" s="9" t="s">
        <v>120</v>
      </c>
      <c r="E259" s="5" t="s">
        <v>68</v>
      </c>
      <c r="F259" s="5" t="s">
        <v>175</v>
      </c>
      <c r="G259" s="5" t="s">
        <v>178</v>
      </c>
      <c r="H259" s="5">
        <v>100</v>
      </c>
      <c r="I259" s="28">
        <v>2938</v>
      </c>
      <c r="J259" s="9">
        <v>0</v>
      </c>
      <c r="K259" s="9">
        <v>0</v>
      </c>
      <c r="L259" s="9" t="s">
        <v>90</v>
      </c>
      <c r="M259" s="15">
        <f t="shared" si="6"/>
        <v>293800</v>
      </c>
      <c r="N259" s="19">
        <v>3225</v>
      </c>
    </row>
    <row r="260" spans="1:14" x14ac:dyDescent="0.45">
      <c r="A260" s="4">
        <v>45044</v>
      </c>
      <c r="B260" s="4">
        <v>45048</v>
      </c>
      <c r="C260" s="5">
        <v>4063</v>
      </c>
      <c r="D260" s="9" t="s">
        <v>192</v>
      </c>
      <c r="E260" s="5" t="s">
        <v>68</v>
      </c>
      <c r="F260" s="5" t="s">
        <v>175</v>
      </c>
      <c r="G260" s="5" t="s">
        <v>176</v>
      </c>
      <c r="H260" s="5">
        <v>100</v>
      </c>
      <c r="I260" s="25">
        <v>3869</v>
      </c>
      <c r="J260" s="9">
        <v>0</v>
      </c>
      <c r="K260" s="9">
        <v>0</v>
      </c>
      <c r="L260" s="9" t="s">
        <v>177</v>
      </c>
      <c r="M260" s="15">
        <f t="shared" si="6"/>
        <v>386900</v>
      </c>
      <c r="N260" s="19">
        <v>0</v>
      </c>
    </row>
    <row r="261" spans="1:14" x14ac:dyDescent="0.45">
      <c r="A261" s="4">
        <v>45047</v>
      </c>
      <c r="B261" s="4">
        <v>45054</v>
      </c>
      <c r="C261" s="5">
        <v>6890</v>
      </c>
      <c r="D261" s="9" t="s">
        <v>187</v>
      </c>
      <c r="E261" s="5" t="s">
        <v>68</v>
      </c>
      <c r="F261" s="5" t="s">
        <v>175</v>
      </c>
      <c r="G261" s="5" t="s">
        <v>178</v>
      </c>
      <c r="H261" s="5">
        <v>100</v>
      </c>
      <c r="I261" s="25">
        <v>3085</v>
      </c>
      <c r="J261" s="9">
        <v>0</v>
      </c>
      <c r="K261" s="9">
        <v>0</v>
      </c>
      <c r="L261" s="9" t="s">
        <v>90</v>
      </c>
      <c r="M261" s="15">
        <f t="shared" si="6"/>
        <v>308500</v>
      </c>
      <c r="N261" s="19">
        <v>1000</v>
      </c>
    </row>
    <row r="262" spans="1:14" x14ac:dyDescent="0.45">
      <c r="A262" s="4">
        <v>45048</v>
      </c>
      <c r="B262" s="4">
        <v>45055</v>
      </c>
      <c r="C262" s="5">
        <v>8267</v>
      </c>
      <c r="D262" s="9" t="s">
        <v>193</v>
      </c>
      <c r="E262" s="5" t="s">
        <v>68</v>
      </c>
      <c r="F262" s="5" t="s">
        <v>175</v>
      </c>
      <c r="G262" s="5" t="s">
        <v>178</v>
      </c>
      <c r="H262" s="5">
        <v>100</v>
      </c>
      <c r="I262" s="25">
        <v>2768.5</v>
      </c>
      <c r="J262" s="9">
        <v>0</v>
      </c>
      <c r="K262" s="9">
        <v>0</v>
      </c>
      <c r="L262" s="9" t="s">
        <v>90</v>
      </c>
      <c r="M262" s="15">
        <f t="shared" si="6"/>
        <v>276850</v>
      </c>
      <c r="N262" s="19">
        <v>5750</v>
      </c>
    </row>
    <row r="263" spans="1:14" x14ac:dyDescent="0.45">
      <c r="A263" s="4">
        <v>45048</v>
      </c>
      <c r="B263" s="4">
        <v>45055</v>
      </c>
      <c r="C263" s="5">
        <v>2768</v>
      </c>
      <c r="D263" s="9" t="s">
        <v>197</v>
      </c>
      <c r="E263" s="5" t="s">
        <v>68</v>
      </c>
      <c r="F263" s="5" t="s">
        <v>175</v>
      </c>
      <c r="G263" s="5" t="s">
        <v>176</v>
      </c>
      <c r="H263" s="5">
        <v>100</v>
      </c>
      <c r="I263" s="25">
        <v>2776</v>
      </c>
      <c r="J263" s="9">
        <v>0</v>
      </c>
      <c r="K263" s="9">
        <v>0</v>
      </c>
      <c r="L263" s="9" t="s">
        <v>177</v>
      </c>
      <c r="M263" s="15">
        <f t="shared" si="6"/>
        <v>277600</v>
      </c>
      <c r="N263" s="19">
        <v>0</v>
      </c>
    </row>
    <row r="264" spans="1:14" x14ac:dyDescent="0.45">
      <c r="A264" s="4">
        <v>45048</v>
      </c>
      <c r="B264" s="4">
        <v>45055</v>
      </c>
      <c r="C264" s="5">
        <v>1911</v>
      </c>
      <c r="D264" s="9" t="s">
        <v>196</v>
      </c>
      <c r="E264" s="5" t="s">
        <v>68</v>
      </c>
      <c r="F264" s="5" t="s">
        <v>175</v>
      </c>
      <c r="G264" s="5" t="s">
        <v>176</v>
      </c>
      <c r="H264" s="5">
        <v>100</v>
      </c>
      <c r="I264" s="25">
        <v>2920</v>
      </c>
      <c r="J264" s="9">
        <v>0</v>
      </c>
      <c r="K264" s="9">
        <v>0</v>
      </c>
      <c r="L264" s="9" t="s">
        <v>177</v>
      </c>
      <c r="M264" s="15">
        <f t="shared" si="6"/>
        <v>292000</v>
      </c>
      <c r="N264" s="19">
        <v>0</v>
      </c>
    </row>
    <row r="265" spans="1:14" x14ac:dyDescent="0.45">
      <c r="A265" s="4">
        <v>45055</v>
      </c>
      <c r="B265" s="4">
        <v>45057</v>
      </c>
      <c r="C265" s="5">
        <v>5332</v>
      </c>
      <c r="D265" s="9" t="s">
        <v>194</v>
      </c>
      <c r="E265" s="5" t="s">
        <v>68</v>
      </c>
      <c r="F265" s="5" t="s">
        <v>175</v>
      </c>
      <c r="G265" s="5" t="s">
        <v>178</v>
      </c>
      <c r="H265" s="5">
        <v>100</v>
      </c>
      <c r="I265" s="25">
        <v>4600</v>
      </c>
      <c r="J265" s="9">
        <v>0</v>
      </c>
      <c r="K265" s="9">
        <v>0</v>
      </c>
      <c r="L265" s="9" t="s">
        <v>90</v>
      </c>
      <c r="M265" s="15">
        <f t="shared" si="6"/>
        <v>460000</v>
      </c>
      <c r="N265" s="21">
        <v>2100</v>
      </c>
    </row>
    <row r="266" spans="1:14" x14ac:dyDescent="0.45">
      <c r="A266" s="4">
        <v>45056</v>
      </c>
      <c r="B266" s="4">
        <v>45058</v>
      </c>
      <c r="C266" s="5">
        <v>2768</v>
      </c>
      <c r="D266" s="9" t="s">
        <v>197</v>
      </c>
      <c r="E266" s="5" t="s">
        <v>68</v>
      </c>
      <c r="F266" s="5" t="s">
        <v>175</v>
      </c>
      <c r="G266" s="5" t="s">
        <v>178</v>
      </c>
      <c r="H266" s="5">
        <v>100</v>
      </c>
      <c r="I266" s="25">
        <v>2857</v>
      </c>
      <c r="J266" s="9">
        <v>0</v>
      </c>
      <c r="K266" s="9">
        <v>0</v>
      </c>
      <c r="L266" s="9" t="s">
        <v>90</v>
      </c>
      <c r="M266" s="15">
        <f t="shared" si="6"/>
        <v>285700</v>
      </c>
      <c r="N266" s="19">
        <v>8100</v>
      </c>
    </row>
    <row r="267" spans="1:14" x14ac:dyDescent="0.45">
      <c r="A267" s="4">
        <v>45061</v>
      </c>
      <c r="B267" s="4">
        <v>45063</v>
      </c>
      <c r="C267" s="5">
        <v>8031</v>
      </c>
      <c r="D267" s="9" t="s">
        <v>195</v>
      </c>
      <c r="E267" s="5" t="s">
        <v>68</v>
      </c>
      <c r="F267" s="5" t="s">
        <v>175</v>
      </c>
      <c r="G267" s="5" t="s">
        <v>178</v>
      </c>
      <c r="H267" s="5">
        <v>100</v>
      </c>
      <c r="I267" s="25">
        <v>4275</v>
      </c>
      <c r="J267" s="9">
        <v>0</v>
      </c>
      <c r="K267" s="9">
        <v>0</v>
      </c>
      <c r="L267" s="9" t="s">
        <v>90</v>
      </c>
      <c r="M267" s="15">
        <f t="shared" si="6"/>
        <v>427500</v>
      </c>
      <c r="N267" s="19">
        <v>5500</v>
      </c>
    </row>
    <row r="268" spans="1:14" x14ac:dyDescent="0.45">
      <c r="A268" s="4">
        <v>45062</v>
      </c>
      <c r="B268" s="4">
        <v>45064</v>
      </c>
      <c r="C268" s="5">
        <v>3395</v>
      </c>
      <c r="D268" s="9" t="s">
        <v>77</v>
      </c>
      <c r="E268" s="5" t="s">
        <v>68</v>
      </c>
      <c r="F268" s="5" t="s">
        <v>175</v>
      </c>
      <c r="G268" s="5" t="s">
        <v>178</v>
      </c>
      <c r="H268" s="5">
        <v>100</v>
      </c>
      <c r="I268" s="25">
        <v>1970.8</v>
      </c>
      <c r="J268" s="9">
        <v>0</v>
      </c>
      <c r="K268" s="9">
        <v>0</v>
      </c>
      <c r="L268" s="9" t="s">
        <v>90</v>
      </c>
      <c r="M268" s="15">
        <f t="shared" si="6"/>
        <v>197080</v>
      </c>
      <c r="N268" s="19">
        <v>15780</v>
      </c>
    </row>
    <row r="269" spans="1:14" x14ac:dyDescent="0.45">
      <c r="A269" s="4">
        <v>45062</v>
      </c>
      <c r="B269" s="4">
        <v>45064</v>
      </c>
      <c r="C269" s="5">
        <v>4063</v>
      </c>
      <c r="D269" s="9" t="s">
        <v>192</v>
      </c>
      <c r="E269" s="5" t="s">
        <v>68</v>
      </c>
      <c r="F269" s="5" t="s">
        <v>175</v>
      </c>
      <c r="G269" s="5" t="s">
        <v>178</v>
      </c>
      <c r="H269" s="5">
        <v>100</v>
      </c>
      <c r="I269" s="25">
        <v>4005</v>
      </c>
      <c r="J269" s="9">
        <v>0</v>
      </c>
      <c r="K269" s="9">
        <v>0</v>
      </c>
      <c r="L269" s="9" t="s">
        <v>90</v>
      </c>
      <c r="M269" s="15">
        <f t="shared" si="6"/>
        <v>400500</v>
      </c>
      <c r="N269" s="19">
        <v>10050</v>
      </c>
    </row>
    <row r="270" spans="1:14" x14ac:dyDescent="0.45">
      <c r="A270" s="4">
        <v>45062</v>
      </c>
      <c r="B270" s="4">
        <v>45064</v>
      </c>
      <c r="C270" s="5">
        <v>4063</v>
      </c>
      <c r="D270" s="9" t="s">
        <v>192</v>
      </c>
      <c r="E270" s="5" t="s">
        <v>68</v>
      </c>
      <c r="F270" s="5" t="s">
        <v>175</v>
      </c>
      <c r="G270" s="5" t="s">
        <v>178</v>
      </c>
      <c r="H270" s="5">
        <v>100</v>
      </c>
      <c r="I270" s="25">
        <v>3995</v>
      </c>
      <c r="J270" s="9">
        <v>0</v>
      </c>
      <c r="K270" s="9">
        <v>0</v>
      </c>
      <c r="L270" s="9" t="s">
        <v>90</v>
      </c>
      <c r="M270" s="15">
        <f t="shared" si="6"/>
        <v>399500</v>
      </c>
      <c r="N270" s="19">
        <v>9050</v>
      </c>
    </row>
    <row r="271" spans="1:14" x14ac:dyDescent="0.45">
      <c r="A271" s="4">
        <v>45063</v>
      </c>
      <c r="B271" s="4">
        <v>45065</v>
      </c>
      <c r="C271" s="5">
        <v>6971</v>
      </c>
      <c r="D271" s="9" t="s">
        <v>124</v>
      </c>
      <c r="E271" s="5" t="s">
        <v>68</v>
      </c>
      <c r="F271" s="5" t="s">
        <v>175</v>
      </c>
      <c r="G271" s="5" t="s">
        <v>178</v>
      </c>
      <c r="H271" s="5">
        <v>100</v>
      </c>
      <c r="I271" s="25">
        <v>7368</v>
      </c>
      <c r="J271" s="9">
        <v>0</v>
      </c>
      <c r="K271" s="9">
        <v>0</v>
      </c>
      <c r="L271" s="9" t="s">
        <v>90</v>
      </c>
      <c r="M271" s="15">
        <f t="shared" si="6"/>
        <v>736800</v>
      </c>
      <c r="N271" s="19">
        <v>73265</v>
      </c>
    </row>
    <row r="272" spans="1:14" x14ac:dyDescent="0.45">
      <c r="A272" s="4">
        <v>45064</v>
      </c>
      <c r="B272" s="4">
        <v>45068</v>
      </c>
      <c r="C272" s="5">
        <v>8058</v>
      </c>
      <c r="D272" s="9" t="s">
        <v>72</v>
      </c>
      <c r="E272" s="5" t="s">
        <v>68</v>
      </c>
      <c r="F272" s="5" t="s">
        <v>175</v>
      </c>
      <c r="G272" s="5" t="s">
        <v>178</v>
      </c>
      <c r="H272" s="5">
        <v>100</v>
      </c>
      <c r="I272" s="25">
        <v>5524</v>
      </c>
      <c r="J272" s="9">
        <v>0</v>
      </c>
      <c r="K272" s="9">
        <v>0</v>
      </c>
      <c r="L272" s="9" t="s">
        <v>90</v>
      </c>
      <c r="M272" s="15">
        <f t="shared" si="6"/>
        <v>552400</v>
      </c>
      <c r="N272" s="19">
        <v>73400</v>
      </c>
    </row>
    <row r="273" spans="1:14" x14ac:dyDescent="0.45">
      <c r="A273" s="4">
        <v>45064</v>
      </c>
      <c r="B273" s="4">
        <v>45068</v>
      </c>
      <c r="C273" s="5">
        <v>4503</v>
      </c>
      <c r="D273" s="9" t="s">
        <v>179</v>
      </c>
      <c r="E273" s="5" t="s">
        <v>68</v>
      </c>
      <c r="F273" s="5" t="s">
        <v>175</v>
      </c>
      <c r="G273" s="5" t="s">
        <v>178</v>
      </c>
      <c r="H273" s="5">
        <v>100</v>
      </c>
      <c r="I273" s="25">
        <v>2229</v>
      </c>
      <c r="J273" s="9">
        <v>0</v>
      </c>
      <c r="K273" s="9">
        <v>0</v>
      </c>
      <c r="L273" s="9" t="s">
        <v>90</v>
      </c>
      <c r="M273" s="15">
        <f t="shared" si="6"/>
        <v>222900</v>
      </c>
      <c r="N273" s="19">
        <v>33600</v>
      </c>
    </row>
    <row r="274" spans="1:14" x14ac:dyDescent="0.45">
      <c r="A274" s="4">
        <v>45065</v>
      </c>
      <c r="B274" s="4">
        <v>45069</v>
      </c>
      <c r="C274" s="5">
        <v>7974</v>
      </c>
      <c r="D274" s="9" t="s">
        <v>174</v>
      </c>
      <c r="E274" s="5" t="s">
        <v>68</v>
      </c>
      <c r="F274" s="5" t="s">
        <v>175</v>
      </c>
      <c r="G274" s="5" t="s">
        <v>178</v>
      </c>
      <c r="H274" s="5">
        <v>100</v>
      </c>
      <c r="I274" s="25">
        <v>5977</v>
      </c>
      <c r="J274" s="9">
        <v>0</v>
      </c>
      <c r="K274" s="9">
        <v>0</v>
      </c>
      <c r="L274" s="9" t="s">
        <v>90</v>
      </c>
      <c r="M274" s="15">
        <f t="shared" si="6"/>
        <v>597700</v>
      </c>
      <c r="N274" s="19">
        <v>39165</v>
      </c>
    </row>
    <row r="275" spans="1:14" x14ac:dyDescent="0.45">
      <c r="A275" s="4">
        <v>45065</v>
      </c>
      <c r="B275" s="4">
        <v>45069</v>
      </c>
      <c r="C275" s="5">
        <v>1911</v>
      </c>
      <c r="D275" s="9" t="s">
        <v>196</v>
      </c>
      <c r="E275" s="5" t="s">
        <v>68</v>
      </c>
      <c r="F275" s="5" t="s">
        <v>175</v>
      </c>
      <c r="G275" s="5" t="s">
        <v>178</v>
      </c>
      <c r="H275" s="5">
        <v>100</v>
      </c>
      <c r="I275" s="25">
        <v>3085.5</v>
      </c>
      <c r="J275" s="9">
        <v>0</v>
      </c>
      <c r="K275" s="9">
        <v>0</v>
      </c>
      <c r="L275" s="9" t="s">
        <v>90</v>
      </c>
      <c r="M275" s="15">
        <f t="shared" si="6"/>
        <v>308550</v>
      </c>
      <c r="N275" s="19">
        <v>16550</v>
      </c>
    </row>
    <row r="276" spans="1:14" x14ac:dyDescent="0.45">
      <c r="A276" s="4">
        <v>45079</v>
      </c>
      <c r="B276" s="4">
        <v>45083</v>
      </c>
      <c r="C276" s="5">
        <v>8058</v>
      </c>
      <c r="D276" s="9" t="s">
        <v>72</v>
      </c>
      <c r="E276" s="5" t="s">
        <v>68</v>
      </c>
      <c r="F276" s="5" t="s">
        <v>175</v>
      </c>
      <c r="G276" s="5" t="s">
        <v>176</v>
      </c>
      <c r="H276" s="5">
        <v>100</v>
      </c>
      <c r="I276" s="25">
        <v>5820</v>
      </c>
      <c r="J276" s="9">
        <v>0</v>
      </c>
      <c r="K276" s="9">
        <v>0</v>
      </c>
      <c r="L276" s="9" t="s">
        <v>177</v>
      </c>
      <c r="M276" s="15">
        <f t="shared" si="6"/>
        <v>582000</v>
      </c>
      <c r="N276" s="19">
        <v>0</v>
      </c>
    </row>
    <row r="277" spans="1:14" x14ac:dyDescent="0.45">
      <c r="A277" s="4">
        <v>45082</v>
      </c>
      <c r="B277" s="4">
        <v>45084</v>
      </c>
      <c r="C277" s="5">
        <v>1911</v>
      </c>
      <c r="D277" s="9" t="s">
        <v>196</v>
      </c>
      <c r="E277" s="5" t="s">
        <v>68</v>
      </c>
      <c r="F277" s="5" t="s">
        <v>175</v>
      </c>
      <c r="G277" s="5" t="s">
        <v>176</v>
      </c>
      <c r="H277" s="5">
        <v>100</v>
      </c>
      <c r="I277" s="25">
        <v>3196</v>
      </c>
      <c r="J277" s="9">
        <v>0</v>
      </c>
      <c r="K277" s="9">
        <v>0</v>
      </c>
      <c r="L277" s="9" t="s">
        <v>177</v>
      </c>
      <c r="M277" s="15">
        <f t="shared" si="6"/>
        <v>319600</v>
      </c>
      <c r="N277" s="19">
        <v>0</v>
      </c>
    </row>
    <row r="278" spans="1:14" x14ac:dyDescent="0.45">
      <c r="A278" s="4">
        <v>45082</v>
      </c>
      <c r="B278" s="4">
        <v>45084</v>
      </c>
      <c r="C278" s="5">
        <v>8267</v>
      </c>
      <c r="D278" s="9" t="s">
        <v>193</v>
      </c>
      <c r="E278" s="5" t="s">
        <v>68</v>
      </c>
      <c r="F278" s="5" t="s">
        <v>175</v>
      </c>
      <c r="G278" s="5" t="s">
        <v>176</v>
      </c>
      <c r="H278" s="5">
        <v>100</v>
      </c>
      <c r="I278" s="25">
        <v>2819</v>
      </c>
      <c r="J278" s="9">
        <v>0</v>
      </c>
      <c r="K278" s="9">
        <v>0</v>
      </c>
      <c r="L278" s="9" t="s">
        <v>177</v>
      </c>
      <c r="M278" s="15">
        <f t="shared" si="6"/>
        <v>281900</v>
      </c>
      <c r="N278" s="19">
        <v>0</v>
      </c>
    </row>
    <row r="279" spans="1:14" x14ac:dyDescent="0.45">
      <c r="A279" s="4">
        <v>45083</v>
      </c>
      <c r="B279" s="4">
        <v>45085</v>
      </c>
      <c r="C279" s="5">
        <v>6954</v>
      </c>
      <c r="D279" s="9" t="s">
        <v>199</v>
      </c>
      <c r="E279" s="5" t="s">
        <v>68</v>
      </c>
      <c r="F279" s="5" t="s">
        <v>175</v>
      </c>
      <c r="G279" s="5" t="s">
        <v>176</v>
      </c>
      <c r="H279" s="5">
        <v>100</v>
      </c>
      <c r="I279" s="25">
        <v>5070</v>
      </c>
      <c r="J279" s="9">
        <v>0</v>
      </c>
      <c r="K279" s="9">
        <v>0</v>
      </c>
      <c r="L279" s="9" t="s">
        <v>177</v>
      </c>
      <c r="M279" s="15">
        <f t="shared" si="6"/>
        <v>507000</v>
      </c>
      <c r="N279" s="19">
        <v>0</v>
      </c>
    </row>
    <row r="280" spans="1:14" x14ac:dyDescent="0.45">
      <c r="A280" s="4">
        <v>45083</v>
      </c>
      <c r="B280" s="4">
        <v>45085</v>
      </c>
      <c r="C280" s="5">
        <v>8031</v>
      </c>
      <c r="D280" s="9" t="s">
        <v>195</v>
      </c>
      <c r="E280" s="5" t="s">
        <v>68</v>
      </c>
      <c r="F280" s="5" t="s">
        <v>175</v>
      </c>
      <c r="G280" s="5" t="s">
        <v>176</v>
      </c>
      <c r="H280" s="5">
        <v>100</v>
      </c>
      <c r="I280" s="25">
        <v>4829.8999999999996</v>
      </c>
      <c r="J280" s="9">
        <v>0</v>
      </c>
      <c r="K280" s="9">
        <v>0</v>
      </c>
      <c r="L280" s="9" t="s">
        <v>177</v>
      </c>
      <c r="M280" s="15">
        <f t="shared" si="6"/>
        <v>482989.99999999994</v>
      </c>
      <c r="N280" s="19">
        <v>0</v>
      </c>
    </row>
    <row r="281" spans="1:14" x14ac:dyDescent="0.45">
      <c r="A281" s="4">
        <v>45084</v>
      </c>
      <c r="B281" s="4">
        <v>45086</v>
      </c>
      <c r="C281" s="5">
        <v>8031</v>
      </c>
      <c r="D281" s="9" t="s">
        <v>195</v>
      </c>
      <c r="E281" s="5" t="s">
        <v>68</v>
      </c>
      <c r="F281" s="5" t="s">
        <v>175</v>
      </c>
      <c r="G281" s="5" t="s">
        <v>176</v>
      </c>
      <c r="H281" s="5">
        <v>100</v>
      </c>
      <c r="I281" s="25">
        <v>4808.8999999999996</v>
      </c>
      <c r="J281" s="9">
        <v>0</v>
      </c>
      <c r="K281" s="9">
        <v>0</v>
      </c>
      <c r="L281" s="9" t="s">
        <v>177</v>
      </c>
      <c r="M281" s="15">
        <f t="shared" si="6"/>
        <v>480889.99999999994</v>
      </c>
      <c r="N281" s="19">
        <v>0</v>
      </c>
    </row>
    <row r="282" spans="1:14" x14ac:dyDescent="0.45">
      <c r="A282" s="4">
        <v>45084</v>
      </c>
      <c r="B282" s="4">
        <v>45086</v>
      </c>
      <c r="C282" s="5">
        <v>4041</v>
      </c>
      <c r="D282" s="9" t="s">
        <v>181</v>
      </c>
      <c r="E282" s="5" t="s">
        <v>68</v>
      </c>
      <c r="F282" s="5" t="s">
        <v>175</v>
      </c>
      <c r="G282" s="5" t="s">
        <v>178</v>
      </c>
      <c r="H282" s="5">
        <v>100</v>
      </c>
      <c r="I282" s="25">
        <v>4815</v>
      </c>
      <c r="J282" s="9">
        <v>0</v>
      </c>
      <c r="K282" s="9">
        <v>0</v>
      </c>
      <c r="L282" s="9" t="s">
        <v>90</v>
      </c>
      <c r="M282" s="15">
        <f t="shared" si="6"/>
        <v>481500</v>
      </c>
      <c r="N282" s="19">
        <v>500</v>
      </c>
    </row>
    <row r="283" spans="1:14" x14ac:dyDescent="0.45">
      <c r="A283" s="4">
        <v>45085</v>
      </c>
      <c r="B283" s="4">
        <v>45089</v>
      </c>
      <c r="C283" s="5">
        <v>6890</v>
      </c>
      <c r="D283" s="9" t="s">
        <v>187</v>
      </c>
      <c r="E283" s="5" t="s">
        <v>68</v>
      </c>
      <c r="F283" s="5" t="s">
        <v>175</v>
      </c>
      <c r="G283" s="5" t="s">
        <v>176</v>
      </c>
      <c r="H283" s="5">
        <v>100</v>
      </c>
      <c r="I283" s="25">
        <v>2970</v>
      </c>
      <c r="J283" s="9">
        <v>0</v>
      </c>
      <c r="K283" s="9">
        <v>0</v>
      </c>
      <c r="L283" s="9" t="s">
        <v>177</v>
      </c>
      <c r="M283" s="15">
        <f t="shared" si="6"/>
        <v>297000</v>
      </c>
      <c r="N283" s="19">
        <v>0</v>
      </c>
    </row>
    <row r="284" spans="1:14" x14ac:dyDescent="0.45">
      <c r="A284" s="4">
        <v>45085</v>
      </c>
      <c r="B284" s="4">
        <v>45089</v>
      </c>
      <c r="C284" s="5">
        <v>4519</v>
      </c>
      <c r="D284" s="9" t="s">
        <v>200</v>
      </c>
      <c r="E284" s="5" t="s">
        <v>68</v>
      </c>
      <c r="F284" s="5" t="s">
        <v>175</v>
      </c>
      <c r="G284" s="5" t="s">
        <v>176</v>
      </c>
      <c r="H284" s="5">
        <v>100</v>
      </c>
      <c r="I284" s="25">
        <v>3860</v>
      </c>
      <c r="J284" s="9">
        <v>0</v>
      </c>
      <c r="K284" s="9">
        <v>0</v>
      </c>
      <c r="L284" s="9" t="s">
        <v>177</v>
      </c>
      <c r="M284" s="15">
        <f t="shared" si="6"/>
        <v>386000</v>
      </c>
      <c r="N284" s="19">
        <v>0</v>
      </c>
    </row>
    <row r="285" spans="1:14" x14ac:dyDescent="0.45">
      <c r="A285" s="4">
        <v>45086</v>
      </c>
      <c r="B285" s="4">
        <v>45090</v>
      </c>
      <c r="C285" s="5">
        <v>4519</v>
      </c>
      <c r="D285" s="9" t="s">
        <v>200</v>
      </c>
      <c r="E285" s="5" t="s">
        <v>68</v>
      </c>
      <c r="F285" s="5" t="s">
        <v>175</v>
      </c>
      <c r="G285" s="5" t="s">
        <v>178</v>
      </c>
      <c r="H285" s="5">
        <v>100</v>
      </c>
      <c r="I285" s="25">
        <v>3974.8</v>
      </c>
      <c r="J285" s="9">
        <v>0</v>
      </c>
      <c r="K285" s="9">
        <v>0</v>
      </c>
      <c r="L285" s="9" t="s">
        <v>90</v>
      </c>
      <c r="M285" s="15">
        <f t="shared" si="6"/>
        <v>397480</v>
      </c>
      <c r="N285" s="19">
        <v>11480</v>
      </c>
    </row>
    <row r="286" spans="1:14" x14ac:dyDescent="0.45">
      <c r="A286" s="4">
        <v>45089</v>
      </c>
      <c r="B286" s="4">
        <v>45091</v>
      </c>
      <c r="C286" s="5">
        <v>6890</v>
      </c>
      <c r="D286" s="9" t="s">
        <v>187</v>
      </c>
      <c r="E286" s="5" t="s">
        <v>68</v>
      </c>
      <c r="F286" s="5" t="s">
        <v>175</v>
      </c>
      <c r="G286" s="5" t="s">
        <v>178</v>
      </c>
      <c r="H286" s="5">
        <v>100</v>
      </c>
      <c r="I286" s="25">
        <v>3110</v>
      </c>
      <c r="J286" s="9">
        <v>0</v>
      </c>
      <c r="K286" s="9">
        <v>0</v>
      </c>
      <c r="L286" s="9" t="s">
        <v>90</v>
      </c>
      <c r="M286" s="15">
        <f t="shared" si="6"/>
        <v>311000</v>
      </c>
      <c r="N286" s="19">
        <v>14000</v>
      </c>
    </row>
    <row r="287" spans="1:14" x14ac:dyDescent="0.45">
      <c r="A287" s="4">
        <v>45089</v>
      </c>
      <c r="B287" s="4">
        <v>45091</v>
      </c>
      <c r="C287" s="5">
        <v>2802</v>
      </c>
      <c r="D287" s="9" t="s">
        <v>202</v>
      </c>
      <c r="E287" s="5" t="s">
        <v>68</v>
      </c>
      <c r="F287" s="5" t="s">
        <v>175</v>
      </c>
      <c r="G287" s="5" t="s">
        <v>176</v>
      </c>
      <c r="H287" s="5">
        <v>100</v>
      </c>
      <c r="I287" s="25">
        <v>5600</v>
      </c>
      <c r="J287" s="9">
        <v>0</v>
      </c>
      <c r="K287" s="9">
        <v>0</v>
      </c>
      <c r="L287" s="9" t="s">
        <v>177</v>
      </c>
      <c r="M287" s="15">
        <f t="shared" si="6"/>
        <v>560000</v>
      </c>
      <c r="N287" s="19">
        <v>0</v>
      </c>
    </row>
    <row r="288" spans="1:14" x14ac:dyDescent="0.45">
      <c r="A288" s="4">
        <v>45091</v>
      </c>
      <c r="B288" s="4">
        <v>45093</v>
      </c>
      <c r="C288" s="5">
        <v>6954</v>
      </c>
      <c r="D288" s="9" t="s">
        <v>199</v>
      </c>
      <c r="E288" s="5" t="s">
        <v>68</v>
      </c>
      <c r="F288" s="5" t="s">
        <v>175</v>
      </c>
      <c r="G288" s="5" t="s">
        <v>178</v>
      </c>
      <c r="H288" s="5">
        <v>100</v>
      </c>
      <c r="I288" s="25">
        <v>5182.1000000000004</v>
      </c>
      <c r="J288" s="9">
        <v>0</v>
      </c>
      <c r="K288" s="9">
        <v>0</v>
      </c>
      <c r="L288" s="9" t="s">
        <v>90</v>
      </c>
      <c r="M288" s="15">
        <f t="shared" si="6"/>
        <v>518210.00000000006</v>
      </c>
      <c r="N288" s="19">
        <v>11210</v>
      </c>
    </row>
    <row r="289" spans="1:14" x14ac:dyDescent="0.45">
      <c r="A289" s="4">
        <v>45091</v>
      </c>
      <c r="B289" s="4">
        <v>45093</v>
      </c>
      <c r="C289" s="5">
        <v>8267</v>
      </c>
      <c r="D289" s="9" t="s">
        <v>193</v>
      </c>
      <c r="E289" s="5" t="s">
        <v>68</v>
      </c>
      <c r="F289" s="5" t="s">
        <v>175</v>
      </c>
      <c r="G289" s="5" t="s">
        <v>178</v>
      </c>
      <c r="H289" s="5">
        <v>100</v>
      </c>
      <c r="I289" s="25">
        <v>2822.6</v>
      </c>
      <c r="J289" s="9">
        <v>0</v>
      </c>
      <c r="K289" s="9">
        <v>0</v>
      </c>
      <c r="L289" s="9" t="s">
        <v>90</v>
      </c>
      <c r="M289" s="15">
        <f t="shared" si="6"/>
        <v>282260</v>
      </c>
      <c r="N289" s="19">
        <v>360</v>
      </c>
    </row>
    <row r="290" spans="1:14" x14ac:dyDescent="0.45">
      <c r="A290" s="4">
        <v>45092</v>
      </c>
      <c r="B290" s="4">
        <v>45096</v>
      </c>
      <c r="C290" s="5">
        <v>8001</v>
      </c>
      <c r="D290" s="9" t="s">
        <v>203</v>
      </c>
      <c r="E290" s="5" t="s">
        <v>68</v>
      </c>
      <c r="F290" s="5" t="s">
        <v>175</v>
      </c>
      <c r="G290" s="5" t="s">
        <v>176</v>
      </c>
      <c r="H290" s="5">
        <v>100</v>
      </c>
      <c r="I290" s="25">
        <v>5640</v>
      </c>
      <c r="J290" s="9">
        <v>0</v>
      </c>
      <c r="K290" s="9">
        <v>0</v>
      </c>
      <c r="L290" s="9" t="s">
        <v>177</v>
      </c>
      <c r="M290" s="15">
        <f t="shared" si="6"/>
        <v>564000</v>
      </c>
      <c r="N290" s="19">
        <v>0</v>
      </c>
    </row>
    <row r="291" spans="1:14" x14ac:dyDescent="0.45">
      <c r="A291" s="4">
        <v>45093</v>
      </c>
      <c r="B291" s="4">
        <v>45097</v>
      </c>
      <c r="C291" s="5">
        <v>4063</v>
      </c>
      <c r="D291" s="9" t="s">
        <v>192</v>
      </c>
      <c r="E291" s="5" t="s">
        <v>68</v>
      </c>
      <c r="F291" s="5" t="s">
        <v>175</v>
      </c>
      <c r="G291" s="5" t="s">
        <v>176</v>
      </c>
      <c r="H291" s="5">
        <v>100</v>
      </c>
      <c r="I291" s="25">
        <v>4860</v>
      </c>
      <c r="J291" s="9">
        <v>0</v>
      </c>
      <c r="K291" s="9">
        <v>0</v>
      </c>
      <c r="L291" s="9" t="s">
        <v>177</v>
      </c>
      <c r="M291" s="15">
        <f t="shared" si="6"/>
        <v>486000</v>
      </c>
      <c r="N291" s="19">
        <v>0</v>
      </c>
    </row>
    <row r="292" spans="1:14" x14ac:dyDescent="0.45">
      <c r="A292" s="4">
        <v>45093</v>
      </c>
      <c r="B292" s="4">
        <v>45097</v>
      </c>
      <c r="C292" s="5">
        <v>4503</v>
      </c>
      <c r="D292" s="9" t="s">
        <v>179</v>
      </c>
      <c r="E292" s="5" t="s">
        <v>68</v>
      </c>
      <c r="F292" s="5" t="s">
        <v>175</v>
      </c>
      <c r="G292" s="5" t="s">
        <v>176</v>
      </c>
      <c r="H292" s="5">
        <v>100</v>
      </c>
      <c r="I292" s="25">
        <v>2296</v>
      </c>
      <c r="J292" s="9">
        <v>0</v>
      </c>
      <c r="K292" s="9">
        <v>0</v>
      </c>
      <c r="L292" s="9" t="s">
        <v>177</v>
      </c>
      <c r="M292" s="15">
        <f t="shared" si="6"/>
        <v>229600</v>
      </c>
      <c r="N292" s="19">
        <v>0</v>
      </c>
    </row>
    <row r="293" spans="1:14" x14ac:dyDescent="0.45">
      <c r="A293" s="4">
        <v>45096</v>
      </c>
      <c r="B293" s="4">
        <v>45098</v>
      </c>
      <c r="C293" s="5">
        <v>4063</v>
      </c>
      <c r="D293" s="9" t="s">
        <v>192</v>
      </c>
      <c r="E293" s="5" t="s">
        <v>68</v>
      </c>
      <c r="F293" s="5" t="s">
        <v>175</v>
      </c>
      <c r="G293" s="5" t="s">
        <v>176</v>
      </c>
      <c r="H293" s="5">
        <v>100</v>
      </c>
      <c r="I293" s="25">
        <v>4800</v>
      </c>
      <c r="J293" s="9">
        <v>0</v>
      </c>
      <c r="K293" s="9">
        <v>0</v>
      </c>
      <c r="L293" s="9" t="s">
        <v>177</v>
      </c>
      <c r="M293" s="15">
        <f t="shared" si="6"/>
        <v>480000</v>
      </c>
      <c r="N293" s="19">
        <v>0</v>
      </c>
    </row>
    <row r="294" spans="1:14" x14ac:dyDescent="0.45">
      <c r="A294" s="4">
        <v>45097</v>
      </c>
      <c r="B294" s="4">
        <v>45099</v>
      </c>
      <c r="C294" s="5">
        <v>2802</v>
      </c>
      <c r="D294" s="9" t="s">
        <v>202</v>
      </c>
      <c r="E294" s="5" t="s">
        <v>68</v>
      </c>
      <c r="F294" s="5" t="s">
        <v>175</v>
      </c>
      <c r="G294" s="5" t="s">
        <v>176</v>
      </c>
      <c r="H294" s="5">
        <v>100</v>
      </c>
      <c r="I294" s="25">
        <v>5625</v>
      </c>
      <c r="J294" s="9">
        <v>0</v>
      </c>
      <c r="K294" s="9">
        <v>0</v>
      </c>
      <c r="L294" s="9" t="s">
        <v>177</v>
      </c>
      <c r="M294" s="15">
        <f t="shared" ref="M294:M357" si="7">IF(G294="買付",H294*I294+SUM(J294:K294),H294*I294-SUM(J294:K294))</f>
        <v>562500</v>
      </c>
      <c r="N294" s="19">
        <v>0</v>
      </c>
    </row>
    <row r="295" spans="1:14" x14ac:dyDescent="0.45">
      <c r="A295" s="4">
        <v>45099</v>
      </c>
      <c r="B295" s="4">
        <v>45103</v>
      </c>
      <c r="C295" s="5">
        <v>2802</v>
      </c>
      <c r="D295" s="9" t="s">
        <v>202</v>
      </c>
      <c r="E295" s="5" t="s">
        <v>68</v>
      </c>
      <c r="F295" s="5" t="s">
        <v>175</v>
      </c>
      <c r="G295" s="5" t="s">
        <v>178</v>
      </c>
      <c r="H295" s="5">
        <v>100</v>
      </c>
      <c r="I295" s="25">
        <v>5649</v>
      </c>
      <c r="J295" s="9">
        <v>0</v>
      </c>
      <c r="K295" s="9">
        <v>0</v>
      </c>
      <c r="L295" s="9" t="s">
        <v>90</v>
      </c>
      <c r="M295" s="15">
        <f t="shared" si="7"/>
        <v>564900</v>
      </c>
      <c r="N295" s="19">
        <v>3700</v>
      </c>
    </row>
    <row r="296" spans="1:14" x14ac:dyDescent="0.45">
      <c r="A296" s="4">
        <v>45100</v>
      </c>
      <c r="B296" s="4">
        <v>45104</v>
      </c>
      <c r="C296" s="5">
        <v>1911</v>
      </c>
      <c r="D296" s="9" t="s">
        <v>204</v>
      </c>
      <c r="E296" s="5" t="s">
        <v>68</v>
      </c>
      <c r="F296" s="5" t="s">
        <v>175</v>
      </c>
      <c r="G296" s="5" t="s">
        <v>176</v>
      </c>
      <c r="H296" s="5">
        <v>100</v>
      </c>
      <c r="I296" s="25">
        <v>3466</v>
      </c>
      <c r="J296" s="9">
        <v>0</v>
      </c>
      <c r="K296" s="9">
        <v>0</v>
      </c>
      <c r="L296" s="9" t="s">
        <v>177</v>
      </c>
      <c r="M296" s="15">
        <f t="shared" si="7"/>
        <v>346600</v>
      </c>
      <c r="N296" s="19">
        <v>0</v>
      </c>
    </row>
    <row r="297" spans="1:14" x14ac:dyDescent="0.45">
      <c r="A297" s="4">
        <v>45100</v>
      </c>
      <c r="B297" s="4">
        <v>45104</v>
      </c>
      <c r="C297" s="5">
        <v>8031</v>
      </c>
      <c r="D297" s="9" t="s">
        <v>195</v>
      </c>
      <c r="E297" s="5" t="s">
        <v>68</v>
      </c>
      <c r="F297" s="5" t="s">
        <v>175</v>
      </c>
      <c r="G297" s="5" t="s">
        <v>176</v>
      </c>
      <c r="H297" s="5">
        <v>100</v>
      </c>
      <c r="I297" s="25">
        <v>5475</v>
      </c>
      <c r="J297" s="9">
        <v>0</v>
      </c>
      <c r="K297" s="9">
        <v>0</v>
      </c>
      <c r="L297" s="9" t="s">
        <v>177</v>
      </c>
      <c r="M297" s="15">
        <f t="shared" si="7"/>
        <v>547500</v>
      </c>
      <c r="N297" s="19">
        <v>0</v>
      </c>
    </row>
    <row r="298" spans="1:14" x14ac:dyDescent="0.45">
      <c r="A298" s="4">
        <v>45106</v>
      </c>
      <c r="B298" s="4">
        <v>45110</v>
      </c>
      <c r="C298" s="5">
        <v>2802</v>
      </c>
      <c r="D298" s="9" t="s">
        <v>202</v>
      </c>
      <c r="E298" s="5" t="s">
        <v>68</v>
      </c>
      <c r="F298" s="5" t="s">
        <v>175</v>
      </c>
      <c r="G298" s="5" t="s">
        <v>178</v>
      </c>
      <c r="H298" s="5">
        <v>100</v>
      </c>
      <c r="I298" s="25">
        <v>5745</v>
      </c>
      <c r="J298" s="9">
        <v>0</v>
      </c>
      <c r="K298" s="9">
        <v>0</v>
      </c>
      <c r="L298" s="9" t="s">
        <v>90</v>
      </c>
      <c r="M298" s="15">
        <f t="shared" si="7"/>
        <v>574500</v>
      </c>
      <c r="N298" s="19">
        <v>13300</v>
      </c>
    </row>
    <row r="299" spans="1:14" x14ac:dyDescent="0.45">
      <c r="A299" s="4">
        <v>45107</v>
      </c>
      <c r="B299" s="4">
        <v>45111</v>
      </c>
      <c r="C299" s="5">
        <v>4324</v>
      </c>
      <c r="D299" s="6" t="s">
        <v>45</v>
      </c>
      <c r="E299" s="5" t="s">
        <v>68</v>
      </c>
      <c r="F299" s="5" t="s">
        <v>175</v>
      </c>
      <c r="G299" s="5" t="s">
        <v>176</v>
      </c>
      <c r="H299" s="5">
        <v>100</v>
      </c>
      <c r="I299" s="25">
        <v>4715</v>
      </c>
      <c r="J299" s="9">
        <v>0</v>
      </c>
      <c r="K299" s="9">
        <v>0</v>
      </c>
      <c r="L299" s="9" t="s">
        <v>177</v>
      </c>
      <c r="M299" s="15">
        <f t="shared" si="7"/>
        <v>471500</v>
      </c>
      <c r="N299" s="19">
        <v>0</v>
      </c>
    </row>
    <row r="300" spans="1:14" x14ac:dyDescent="0.45">
      <c r="A300" s="4">
        <v>45111</v>
      </c>
      <c r="B300" s="4">
        <v>45113</v>
      </c>
      <c r="C300" s="5">
        <v>4503</v>
      </c>
      <c r="D300" s="9" t="s">
        <v>179</v>
      </c>
      <c r="E300" s="5" t="s">
        <v>68</v>
      </c>
      <c r="F300" s="5" t="s">
        <v>175</v>
      </c>
      <c r="G300" s="5" t="s">
        <v>176</v>
      </c>
      <c r="H300" s="5">
        <v>100</v>
      </c>
      <c r="I300" s="25">
        <v>2097</v>
      </c>
      <c r="J300" s="9">
        <v>0</v>
      </c>
      <c r="K300" s="9">
        <v>0</v>
      </c>
      <c r="L300" s="9" t="s">
        <v>177</v>
      </c>
      <c r="M300" s="15">
        <f t="shared" si="7"/>
        <v>209700</v>
      </c>
      <c r="N300" s="19">
        <v>0</v>
      </c>
    </row>
    <row r="301" spans="1:14" x14ac:dyDescent="0.45">
      <c r="A301" s="4">
        <v>45111</v>
      </c>
      <c r="B301" s="4">
        <v>45113</v>
      </c>
      <c r="C301" s="5">
        <v>2802</v>
      </c>
      <c r="D301" s="9" t="s">
        <v>202</v>
      </c>
      <c r="E301" s="5" t="s">
        <v>68</v>
      </c>
      <c r="F301" s="5" t="s">
        <v>175</v>
      </c>
      <c r="G301" s="5" t="s">
        <v>176</v>
      </c>
      <c r="H301" s="5">
        <v>100</v>
      </c>
      <c r="I301" s="25">
        <v>5645</v>
      </c>
      <c r="J301" s="9">
        <v>0</v>
      </c>
      <c r="K301" s="9">
        <v>0</v>
      </c>
      <c r="L301" s="9" t="s">
        <v>177</v>
      </c>
      <c r="M301" s="15">
        <f t="shared" si="7"/>
        <v>564500</v>
      </c>
      <c r="N301" s="19">
        <v>0</v>
      </c>
    </row>
    <row r="302" spans="1:14" x14ac:dyDescent="0.45">
      <c r="A302" s="4">
        <v>45113</v>
      </c>
      <c r="B302" s="4">
        <v>45117</v>
      </c>
      <c r="C302" s="5">
        <v>4063</v>
      </c>
      <c r="D302" s="9" t="s">
        <v>192</v>
      </c>
      <c r="E302" s="5" t="s">
        <v>68</v>
      </c>
      <c r="F302" s="5" t="s">
        <v>175</v>
      </c>
      <c r="G302" s="5" t="s">
        <v>176</v>
      </c>
      <c r="H302" s="5">
        <v>100</v>
      </c>
      <c r="I302" s="25">
        <v>4708</v>
      </c>
      <c r="J302" s="9">
        <v>250</v>
      </c>
      <c r="K302" s="9">
        <v>25</v>
      </c>
      <c r="L302" s="9" t="s">
        <v>177</v>
      </c>
      <c r="M302" s="15">
        <f t="shared" si="7"/>
        <v>471075</v>
      </c>
      <c r="N302" s="19">
        <v>0</v>
      </c>
    </row>
    <row r="303" spans="1:14" x14ac:dyDescent="0.45">
      <c r="A303" s="4">
        <v>45113</v>
      </c>
      <c r="B303" s="4">
        <v>45117</v>
      </c>
      <c r="C303" s="5">
        <v>9433</v>
      </c>
      <c r="D303" s="9" t="s">
        <v>71</v>
      </c>
      <c r="E303" s="5" t="s">
        <v>68</v>
      </c>
      <c r="F303" s="5" t="s">
        <v>175</v>
      </c>
      <c r="G303" s="5" t="s">
        <v>176</v>
      </c>
      <c r="H303" s="5">
        <v>100</v>
      </c>
      <c r="I303" s="25">
        <v>4360</v>
      </c>
      <c r="J303" s="9">
        <v>250</v>
      </c>
      <c r="K303" s="9">
        <v>25</v>
      </c>
      <c r="L303" s="9" t="s">
        <v>177</v>
      </c>
      <c r="M303" s="15">
        <f t="shared" si="7"/>
        <v>436275</v>
      </c>
      <c r="N303" s="19">
        <v>0</v>
      </c>
    </row>
    <row r="304" spans="1:14" x14ac:dyDescent="0.45">
      <c r="A304" s="4">
        <v>45117</v>
      </c>
      <c r="B304" s="4">
        <v>45119</v>
      </c>
      <c r="C304" s="5">
        <v>1911</v>
      </c>
      <c r="D304" s="9" t="s">
        <v>204</v>
      </c>
      <c r="E304" s="5" t="s">
        <v>68</v>
      </c>
      <c r="F304" s="5" t="s">
        <v>175</v>
      </c>
      <c r="G304" s="5" t="s">
        <v>178</v>
      </c>
      <c r="H304" s="5">
        <v>200</v>
      </c>
      <c r="I304" s="25">
        <v>3304</v>
      </c>
      <c r="J304" s="9">
        <v>487</v>
      </c>
      <c r="K304" s="9">
        <v>48</v>
      </c>
      <c r="L304" s="9" t="s">
        <v>90</v>
      </c>
      <c r="M304" s="15">
        <f t="shared" si="7"/>
        <v>660265</v>
      </c>
      <c r="N304" s="19">
        <v>-5935</v>
      </c>
    </row>
    <row r="305" spans="1:14" x14ac:dyDescent="0.45">
      <c r="A305" s="4">
        <v>45117</v>
      </c>
      <c r="B305" s="4">
        <v>45119</v>
      </c>
      <c r="C305" s="5">
        <v>2802</v>
      </c>
      <c r="D305" s="9" t="s">
        <v>202</v>
      </c>
      <c r="E305" s="5" t="s">
        <v>68</v>
      </c>
      <c r="F305" s="5" t="s">
        <v>175</v>
      </c>
      <c r="G305" s="5" t="s">
        <v>178</v>
      </c>
      <c r="H305" s="5">
        <v>100</v>
      </c>
      <c r="I305" s="25">
        <v>5612</v>
      </c>
      <c r="J305" s="9">
        <v>487</v>
      </c>
      <c r="K305" s="9">
        <v>48</v>
      </c>
      <c r="L305" s="9" t="s">
        <v>90</v>
      </c>
      <c r="M305" s="15">
        <f t="shared" si="7"/>
        <v>560665</v>
      </c>
      <c r="N305" s="19">
        <v>-3835</v>
      </c>
    </row>
    <row r="306" spans="1:14" x14ac:dyDescent="0.45">
      <c r="A306" s="4">
        <v>45117</v>
      </c>
      <c r="B306" s="4">
        <v>45119</v>
      </c>
      <c r="C306" s="5">
        <v>4503</v>
      </c>
      <c r="D306" s="9" t="s">
        <v>179</v>
      </c>
      <c r="E306" s="5" t="s">
        <v>68</v>
      </c>
      <c r="F306" s="5" t="s">
        <v>175</v>
      </c>
      <c r="G306" s="5" t="s">
        <v>178</v>
      </c>
      <c r="H306" s="5">
        <v>200</v>
      </c>
      <c r="I306" s="25">
        <v>2030</v>
      </c>
      <c r="J306" s="9">
        <v>250</v>
      </c>
      <c r="K306" s="9">
        <v>25</v>
      </c>
      <c r="L306" s="9" t="s">
        <v>90</v>
      </c>
      <c r="M306" s="15">
        <f t="shared" si="7"/>
        <v>405725</v>
      </c>
      <c r="N306" s="19">
        <v>-33575</v>
      </c>
    </row>
    <row r="307" spans="1:14" x14ac:dyDescent="0.45">
      <c r="A307" s="4">
        <v>45117</v>
      </c>
      <c r="B307" s="4">
        <v>45119</v>
      </c>
      <c r="C307" s="5">
        <v>8001</v>
      </c>
      <c r="D307" s="9" t="s">
        <v>203</v>
      </c>
      <c r="E307" s="5" t="s">
        <v>68</v>
      </c>
      <c r="F307" s="5" t="s">
        <v>175</v>
      </c>
      <c r="G307" s="5" t="s">
        <v>178</v>
      </c>
      <c r="H307" s="5">
        <v>100</v>
      </c>
      <c r="I307" s="25">
        <v>5518</v>
      </c>
      <c r="J307" s="9">
        <v>487</v>
      </c>
      <c r="K307" s="9">
        <v>48</v>
      </c>
      <c r="L307" s="9" t="s">
        <v>90</v>
      </c>
      <c r="M307" s="15">
        <f t="shared" si="7"/>
        <v>551265</v>
      </c>
      <c r="N307" s="19">
        <v>-12735</v>
      </c>
    </row>
    <row r="308" spans="1:14" x14ac:dyDescent="0.45">
      <c r="A308" s="4">
        <v>45117</v>
      </c>
      <c r="B308" s="4">
        <v>45119</v>
      </c>
      <c r="C308" s="5">
        <v>8031</v>
      </c>
      <c r="D308" s="9" t="s">
        <v>195</v>
      </c>
      <c r="E308" s="5" t="s">
        <v>68</v>
      </c>
      <c r="F308" s="5" t="s">
        <v>175</v>
      </c>
      <c r="G308" s="5" t="s">
        <v>178</v>
      </c>
      <c r="H308" s="5">
        <v>300</v>
      </c>
      <c r="I308" s="25">
        <v>5142</v>
      </c>
      <c r="J308" s="9">
        <v>921</v>
      </c>
      <c r="K308" s="9">
        <v>92</v>
      </c>
      <c r="L308" s="9" t="s">
        <v>90</v>
      </c>
      <c r="M308" s="15">
        <f t="shared" si="7"/>
        <v>1541587</v>
      </c>
      <c r="N308" s="19">
        <v>30207</v>
      </c>
    </row>
    <row r="309" spans="1:14" x14ac:dyDescent="0.45">
      <c r="A309" s="4">
        <v>45117</v>
      </c>
      <c r="B309" s="4">
        <v>45119</v>
      </c>
      <c r="C309" s="5">
        <v>8058</v>
      </c>
      <c r="D309" s="9" t="s">
        <v>72</v>
      </c>
      <c r="E309" s="5" t="s">
        <v>68</v>
      </c>
      <c r="F309" s="5" t="s">
        <v>175</v>
      </c>
      <c r="G309" s="5" t="s">
        <v>178</v>
      </c>
      <c r="H309" s="5">
        <v>100</v>
      </c>
      <c r="I309" s="25">
        <v>6854</v>
      </c>
      <c r="J309" s="9">
        <v>487</v>
      </c>
      <c r="K309" s="9">
        <v>48</v>
      </c>
      <c r="L309" s="9" t="s">
        <v>90</v>
      </c>
      <c r="M309" s="15">
        <f t="shared" si="7"/>
        <v>684865</v>
      </c>
      <c r="N309" s="19">
        <v>102865</v>
      </c>
    </row>
    <row r="310" spans="1:14" x14ac:dyDescent="0.45">
      <c r="A310" s="4">
        <v>45125</v>
      </c>
      <c r="B310" s="4">
        <v>45127</v>
      </c>
      <c r="C310" s="5">
        <v>4324</v>
      </c>
      <c r="D310" s="6" t="s">
        <v>45</v>
      </c>
      <c r="E310" s="5" t="s">
        <v>68</v>
      </c>
      <c r="F310" s="5" t="s">
        <v>175</v>
      </c>
      <c r="G310" s="5" t="s">
        <v>178</v>
      </c>
      <c r="H310" s="5">
        <v>100</v>
      </c>
      <c r="I310" s="25">
        <v>4737</v>
      </c>
      <c r="J310" s="9">
        <v>0</v>
      </c>
      <c r="K310" s="9">
        <v>0</v>
      </c>
      <c r="L310" s="9" t="s">
        <v>90</v>
      </c>
      <c r="M310" s="15">
        <f t="shared" si="7"/>
        <v>473700</v>
      </c>
      <c r="N310" s="19">
        <v>2200</v>
      </c>
    </row>
    <row r="311" spans="1:14" x14ac:dyDescent="0.45">
      <c r="A311" s="4">
        <v>45128</v>
      </c>
      <c r="B311" s="4">
        <v>45132</v>
      </c>
      <c r="C311" s="5">
        <v>5401</v>
      </c>
      <c r="D311" s="9" t="s">
        <v>180</v>
      </c>
      <c r="E311" s="5" t="s">
        <v>68</v>
      </c>
      <c r="F311" s="5" t="s">
        <v>175</v>
      </c>
      <c r="G311" s="5" t="s">
        <v>178</v>
      </c>
      <c r="H311" s="5">
        <v>100</v>
      </c>
      <c r="I311" s="25">
        <v>3077</v>
      </c>
      <c r="J311" s="9">
        <v>0</v>
      </c>
      <c r="K311" s="9">
        <v>0</v>
      </c>
      <c r="L311" s="9" t="s">
        <v>90</v>
      </c>
      <c r="M311" s="15">
        <f t="shared" si="7"/>
        <v>307700</v>
      </c>
      <c r="N311" s="19">
        <v>740</v>
      </c>
    </row>
    <row r="312" spans="1:14" x14ac:dyDescent="0.45">
      <c r="A312" s="4">
        <v>45131</v>
      </c>
      <c r="B312" s="4">
        <v>45133</v>
      </c>
      <c r="C312" s="5">
        <v>5019</v>
      </c>
      <c r="D312" s="9" t="s">
        <v>188</v>
      </c>
      <c r="E312" s="5" t="s">
        <v>68</v>
      </c>
      <c r="F312" s="5" t="s">
        <v>175</v>
      </c>
      <c r="G312" s="5" t="s">
        <v>178</v>
      </c>
      <c r="H312" s="5">
        <v>100</v>
      </c>
      <c r="I312" s="25">
        <v>3011</v>
      </c>
      <c r="J312" s="9">
        <v>0</v>
      </c>
      <c r="K312" s="9">
        <v>0</v>
      </c>
      <c r="L312" s="9" t="s">
        <v>90</v>
      </c>
      <c r="M312" s="15">
        <f t="shared" si="7"/>
        <v>301100</v>
      </c>
      <c r="N312" s="19">
        <v>3100</v>
      </c>
    </row>
    <row r="313" spans="1:14" x14ac:dyDescent="0.45">
      <c r="A313" s="4">
        <v>45133</v>
      </c>
      <c r="B313" s="4">
        <v>45135</v>
      </c>
      <c r="C313" s="5">
        <v>7974</v>
      </c>
      <c r="D313" s="9" t="s">
        <v>174</v>
      </c>
      <c r="E313" s="5" t="s">
        <v>68</v>
      </c>
      <c r="F313" s="5" t="s">
        <v>175</v>
      </c>
      <c r="G313" s="5" t="s">
        <v>176</v>
      </c>
      <c r="H313" s="5">
        <v>100</v>
      </c>
      <c r="I313" s="25">
        <v>6340</v>
      </c>
      <c r="J313" s="9">
        <v>0</v>
      </c>
      <c r="K313" s="9">
        <v>0</v>
      </c>
      <c r="L313" s="9" t="s">
        <v>177</v>
      </c>
      <c r="M313" s="15">
        <f t="shared" si="7"/>
        <v>634000</v>
      </c>
      <c r="N313" s="21">
        <v>0</v>
      </c>
    </row>
    <row r="314" spans="1:14" x14ac:dyDescent="0.45">
      <c r="A314" s="4">
        <v>45134</v>
      </c>
      <c r="B314" s="4">
        <v>45138</v>
      </c>
      <c r="C314" s="5">
        <v>4661</v>
      </c>
      <c r="D314" s="9" t="s">
        <v>220</v>
      </c>
      <c r="E314" s="5" t="s">
        <v>68</v>
      </c>
      <c r="F314" s="5" t="s">
        <v>175</v>
      </c>
      <c r="G314" s="5" t="s">
        <v>176</v>
      </c>
      <c r="H314" s="5">
        <v>100</v>
      </c>
      <c r="I314" s="25">
        <v>5505</v>
      </c>
      <c r="J314" s="9">
        <v>0</v>
      </c>
      <c r="K314" s="9">
        <v>0</v>
      </c>
      <c r="L314" s="9" t="s">
        <v>177</v>
      </c>
      <c r="M314" s="15">
        <f t="shared" si="7"/>
        <v>550500</v>
      </c>
      <c r="N314" s="21">
        <v>0</v>
      </c>
    </row>
    <row r="315" spans="1:14" x14ac:dyDescent="0.45">
      <c r="A315" s="4">
        <v>45135</v>
      </c>
      <c r="B315" s="4">
        <v>45139</v>
      </c>
      <c r="C315" s="5">
        <v>5108</v>
      </c>
      <c r="D315" s="9" t="s">
        <v>186</v>
      </c>
      <c r="E315" s="5" t="s">
        <v>68</v>
      </c>
      <c r="F315" s="5" t="s">
        <v>175</v>
      </c>
      <c r="G315" s="5" t="s">
        <v>176</v>
      </c>
      <c r="H315" s="5">
        <v>100</v>
      </c>
      <c r="I315" s="25">
        <v>5815</v>
      </c>
      <c r="J315" s="9">
        <v>0</v>
      </c>
      <c r="K315" s="9">
        <v>0</v>
      </c>
      <c r="L315" s="9" t="s">
        <v>177</v>
      </c>
      <c r="M315" s="15">
        <f t="shared" si="7"/>
        <v>581500</v>
      </c>
      <c r="N315" s="21">
        <v>0</v>
      </c>
    </row>
    <row r="316" spans="1:14" x14ac:dyDescent="0.45">
      <c r="A316" s="4">
        <v>45135</v>
      </c>
      <c r="B316" s="4">
        <v>45139</v>
      </c>
      <c r="C316" s="5">
        <v>8766</v>
      </c>
      <c r="D316" s="9" t="s">
        <v>44</v>
      </c>
      <c r="E316" s="5" t="s">
        <v>67</v>
      </c>
      <c r="F316" s="5" t="s">
        <v>29</v>
      </c>
      <c r="G316" s="5" t="s">
        <v>176</v>
      </c>
      <c r="H316" s="5">
        <v>100</v>
      </c>
      <c r="I316" s="25">
        <v>3212.5</v>
      </c>
      <c r="J316" s="9">
        <v>0</v>
      </c>
      <c r="K316" s="9">
        <v>0</v>
      </c>
      <c r="L316" s="9" t="s">
        <v>177</v>
      </c>
      <c r="M316" s="15">
        <f t="shared" si="7"/>
        <v>321250</v>
      </c>
      <c r="N316" s="21">
        <v>0</v>
      </c>
    </row>
    <row r="317" spans="1:14" x14ac:dyDescent="0.45">
      <c r="A317" s="4">
        <v>45138</v>
      </c>
      <c r="B317" s="4">
        <v>45140</v>
      </c>
      <c r="C317" s="5">
        <v>8058</v>
      </c>
      <c r="D317" s="9" t="s">
        <v>72</v>
      </c>
      <c r="E317" s="5" t="s">
        <v>67</v>
      </c>
      <c r="F317" s="5" t="s">
        <v>29</v>
      </c>
      <c r="G317" s="5" t="s">
        <v>176</v>
      </c>
      <c r="H317" s="5">
        <v>100</v>
      </c>
      <c r="I317" s="25">
        <v>7268</v>
      </c>
      <c r="J317" s="9">
        <v>0</v>
      </c>
      <c r="K317" s="9">
        <v>0</v>
      </c>
      <c r="L317" s="9" t="s">
        <v>177</v>
      </c>
      <c r="M317" s="15">
        <f t="shared" si="7"/>
        <v>726800</v>
      </c>
      <c r="N317" s="21">
        <v>0</v>
      </c>
    </row>
    <row r="318" spans="1:14" x14ac:dyDescent="0.45">
      <c r="A318" s="4">
        <v>45139</v>
      </c>
      <c r="B318" s="4">
        <v>45141</v>
      </c>
      <c r="C318" s="5">
        <v>1911</v>
      </c>
      <c r="D318" s="9" t="s">
        <v>204</v>
      </c>
      <c r="E318" s="5" t="s">
        <v>67</v>
      </c>
      <c r="F318" s="5" t="s">
        <v>29</v>
      </c>
      <c r="G318" s="5" t="s">
        <v>176</v>
      </c>
      <c r="H318" s="5">
        <v>100</v>
      </c>
      <c r="I318" s="25">
        <v>3459</v>
      </c>
      <c r="J318" s="9">
        <v>0</v>
      </c>
      <c r="K318" s="9">
        <v>0</v>
      </c>
      <c r="L318" s="9" t="s">
        <v>177</v>
      </c>
      <c r="M318" s="15">
        <f t="shared" si="7"/>
        <v>345900</v>
      </c>
      <c r="N318" s="21">
        <v>0</v>
      </c>
    </row>
    <row r="319" spans="1:14" x14ac:dyDescent="0.45">
      <c r="A319" s="4">
        <v>45139</v>
      </c>
      <c r="B319" s="4">
        <v>45141</v>
      </c>
      <c r="C319" s="5">
        <v>2502</v>
      </c>
      <c r="D319" s="9" t="s">
        <v>221</v>
      </c>
      <c r="E319" s="5" t="s">
        <v>67</v>
      </c>
      <c r="F319" s="5" t="s">
        <v>29</v>
      </c>
      <c r="G319" s="5" t="s">
        <v>176</v>
      </c>
      <c r="H319" s="5">
        <v>100</v>
      </c>
      <c r="I319" s="25">
        <v>5623</v>
      </c>
      <c r="J319" s="9">
        <v>0</v>
      </c>
      <c r="K319" s="9">
        <v>0</v>
      </c>
      <c r="L319" s="9" t="s">
        <v>177</v>
      </c>
      <c r="M319" s="15">
        <f t="shared" si="7"/>
        <v>562300</v>
      </c>
      <c r="N319" s="21">
        <v>0</v>
      </c>
    </row>
    <row r="320" spans="1:14" x14ac:dyDescent="0.45">
      <c r="A320" s="4">
        <v>45140</v>
      </c>
      <c r="B320" s="4">
        <v>45142</v>
      </c>
      <c r="C320" s="5">
        <v>8031</v>
      </c>
      <c r="D320" s="9" t="s">
        <v>195</v>
      </c>
      <c r="E320" s="5" t="s">
        <v>67</v>
      </c>
      <c r="F320" s="5" t="s">
        <v>29</v>
      </c>
      <c r="G320" s="5" t="s">
        <v>176</v>
      </c>
      <c r="H320" s="5">
        <v>100</v>
      </c>
      <c r="I320" s="25">
        <v>5627</v>
      </c>
      <c r="J320" s="9">
        <v>0</v>
      </c>
      <c r="K320" s="9">
        <v>0</v>
      </c>
      <c r="L320" s="9" t="s">
        <v>177</v>
      </c>
      <c r="M320" s="15">
        <f t="shared" si="7"/>
        <v>562700</v>
      </c>
      <c r="N320" s="21">
        <v>0</v>
      </c>
    </row>
    <row r="321" spans="1:14" x14ac:dyDescent="0.45">
      <c r="A321" s="4">
        <v>45142</v>
      </c>
      <c r="B321" s="4">
        <v>45146</v>
      </c>
      <c r="C321" s="5">
        <v>1928</v>
      </c>
      <c r="D321" s="9" t="s">
        <v>222</v>
      </c>
      <c r="E321" s="5" t="s">
        <v>67</v>
      </c>
      <c r="F321" s="5" t="s">
        <v>29</v>
      </c>
      <c r="G321" s="5" t="s">
        <v>176</v>
      </c>
      <c r="H321" s="5">
        <v>100</v>
      </c>
      <c r="I321" s="25">
        <v>2840</v>
      </c>
      <c r="J321" s="9">
        <v>0</v>
      </c>
      <c r="K321" s="9">
        <v>0</v>
      </c>
      <c r="L321" s="9" t="s">
        <v>177</v>
      </c>
      <c r="M321" s="15">
        <f t="shared" si="7"/>
        <v>284000</v>
      </c>
      <c r="N321" s="21">
        <v>0</v>
      </c>
    </row>
    <row r="322" spans="1:14" x14ac:dyDescent="0.45">
      <c r="A322" s="4">
        <v>45142</v>
      </c>
      <c r="B322" s="4">
        <v>45146</v>
      </c>
      <c r="C322" s="5">
        <v>2502</v>
      </c>
      <c r="D322" s="9" t="s">
        <v>221</v>
      </c>
      <c r="E322" s="5" t="s">
        <v>67</v>
      </c>
      <c r="F322" s="5" t="s">
        <v>29</v>
      </c>
      <c r="G322" s="5" t="s">
        <v>176</v>
      </c>
      <c r="H322" s="5">
        <v>100</v>
      </c>
      <c r="I322" s="25">
        <v>5481.7</v>
      </c>
      <c r="J322" s="9">
        <v>0</v>
      </c>
      <c r="K322" s="9">
        <v>0</v>
      </c>
      <c r="L322" s="9" t="s">
        <v>177</v>
      </c>
      <c r="M322" s="15">
        <f t="shared" si="7"/>
        <v>548170</v>
      </c>
      <c r="N322" s="21">
        <v>0</v>
      </c>
    </row>
    <row r="323" spans="1:14" x14ac:dyDescent="0.45">
      <c r="A323" s="4">
        <v>45146</v>
      </c>
      <c r="B323" s="4">
        <v>45148</v>
      </c>
      <c r="C323" s="5">
        <v>4523</v>
      </c>
      <c r="D323" s="9" t="s">
        <v>223</v>
      </c>
      <c r="E323" s="5" t="s">
        <v>67</v>
      </c>
      <c r="F323" s="5" t="s">
        <v>29</v>
      </c>
      <c r="G323" s="5" t="s">
        <v>176</v>
      </c>
      <c r="H323" s="5">
        <v>100</v>
      </c>
      <c r="I323" s="25">
        <v>9271.9</v>
      </c>
      <c r="J323" s="9">
        <v>0</v>
      </c>
      <c r="K323" s="9">
        <v>0</v>
      </c>
      <c r="L323" s="9" t="s">
        <v>177</v>
      </c>
      <c r="M323" s="15">
        <f t="shared" si="7"/>
        <v>927190</v>
      </c>
      <c r="N323" s="21">
        <v>0</v>
      </c>
    </row>
    <row r="324" spans="1:14" x14ac:dyDescent="0.45">
      <c r="A324" s="4">
        <v>45148</v>
      </c>
      <c r="B324" s="4">
        <v>45153</v>
      </c>
      <c r="C324" s="5">
        <v>1911</v>
      </c>
      <c r="D324" s="9" t="s">
        <v>204</v>
      </c>
      <c r="E324" s="5" t="s">
        <v>68</v>
      </c>
      <c r="F324" s="5" t="s">
        <v>175</v>
      </c>
      <c r="G324" s="5" t="s">
        <v>178</v>
      </c>
      <c r="H324" s="5">
        <v>100</v>
      </c>
      <c r="I324" s="25">
        <v>3985</v>
      </c>
      <c r="J324" s="9">
        <v>0</v>
      </c>
      <c r="K324" s="9">
        <v>0</v>
      </c>
      <c r="L324" s="9" t="s">
        <v>90</v>
      </c>
      <c r="M324" s="15">
        <f t="shared" si="7"/>
        <v>398500</v>
      </c>
      <c r="N324" s="19">
        <v>52600</v>
      </c>
    </row>
    <row r="325" spans="1:14" x14ac:dyDescent="0.45">
      <c r="A325" s="4">
        <v>45148</v>
      </c>
      <c r="B325" s="4">
        <v>45153</v>
      </c>
      <c r="C325" s="5">
        <v>2502</v>
      </c>
      <c r="D325" s="9" t="s">
        <v>221</v>
      </c>
      <c r="E325" s="5" t="s">
        <v>68</v>
      </c>
      <c r="F325" s="5" t="s">
        <v>175</v>
      </c>
      <c r="G325" s="5" t="s">
        <v>178</v>
      </c>
      <c r="H325" s="5">
        <v>100</v>
      </c>
      <c r="I325" s="25">
        <v>5650</v>
      </c>
      <c r="J325" s="9">
        <v>0</v>
      </c>
      <c r="K325" s="9">
        <v>0</v>
      </c>
      <c r="L325" s="9" t="s">
        <v>90</v>
      </c>
      <c r="M325" s="15">
        <f t="shared" si="7"/>
        <v>565000</v>
      </c>
      <c r="N325" s="19">
        <v>9700</v>
      </c>
    </row>
    <row r="326" spans="1:14" x14ac:dyDescent="0.45">
      <c r="A326" s="4">
        <v>45152</v>
      </c>
      <c r="B326" s="4">
        <v>45154</v>
      </c>
      <c r="C326" s="5">
        <v>1928</v>
      </c>
      <c r="D326" s="9" t="s">
        <v>222</v>
      </c>
      <c r="E326" s="5" t="s">
        <v>68</v>
      </c>
      <c r="F326" s="5" t="s">
        <v>175</v>
      </c>
      <c r="G326" s="5" t="s">
        <v>178</v>
      </c>
      <c r="H326" s="5">
        <v>100</v>
      </c>
      <c r="I326" s="25">
        <v>2907.2</v>
      </c>
      <c r="J326" s="9">
        <v>0</v>
      </c>
      <c r="K326" s="9">
        <v>0</v>
      </c>
      <c r="L326" s="9" t="s">
        <v>90</v>
      </c>
      <c r="M326" s="15">
        <f t="shared" si="7"/>
        <v>290720</v>
      </c>
      <c r="N326" s="19">
        <v>6720</v>
      </c>
    </row>
    <row r="327" spans="1:14" x14ac:dyDescent="0.45">
      <c r="A327" s="4">
        <v>45153</v>
      </c>
      <c r="B327" s="4">
        <v>45155</v>
      </c>
      <c r="C327" s="5">
        <v>2502</v>
      </c>
      <c r="D327" s="9" t="s">
        <v>221</v>
      </c>
      <c r="E327" s="5" t="s">
        <v>68</v>
      </c>
      <c r="F327" s="5" t="s">
        <v>175</v>
      </c>
      <c r="G327" s="5" t="s">
        <v>178</v>
      </c>
      <c r="H327" s="5">
        <v>100</v>
      </c>
      <c r="I327" s="25">
        <v>5563</v>
      </c>
      <c r="J327" s="9">
        <v>0</v>
      </c>
      <c r="K327" s="9">
        <v>0</v>
      </c>
      <c r="L327" s="9" t="s">
        <v>90</v>
      </c>
      <c r="M327" s="15">
        <f t="shared" si="7"/>
        <v>556300</v>
      </c>
      <c r="N327" s="19">
        <v>1000</v>
      </c>
    </row>
    <row r="328" spans="1:14" x14ac:dyDescent="0.45">
      <c r="A328" s="4">
        <v>45168</v>
      </c>
      <c r="B328" s="4">
        <v>45170</v>
      </c>
      <c r="C328" s="5">
        <v>8766</v>
      </c>
      <c r="D328" s="9" t="s">
        <v>44</v>
      </c>
      <c r="E328" s="5" t="s">
        <v>67</v>
      </c>
      <c r="F328" s="5" t="s">
        <v>29</v>
      </c>
      <c r="G328" s="5" t="s">
        <v>178</v>
      </c>
      <c r="H328" s="5">
        <v>100</v>
      </c>
      <c r="I328" s="25">
        <v>3228.4</v>
      </c>
      <c r="J328" s="9">
        <v>0</v>
      </c>
      <c r="K328" s="9">
        <v>0</v>
      </c>
      <c r="L328" s="9" t="s">
        <v>90</v>
      </c>
      <c r="M328" s="15">
        <f t="shared" si="7"/>
        <v>322840</v>
      </c>
      <c r="N328" s="21">
        <v>1590</v>
      </c>
    </row>
    <row r="329" spans="1:14" x14ac:dyDescent="0.45">
      <c r="A329" s="4">
        <v>45170</v>
      </c>
      <c r="B329" s="4">
        <v>45174</v>
      </c>
      <c r="C329" s="5">
        <v>8058</v>
      </c>
      <c r="D329" s="9" t="s">
        <v>72</v>
      </c>
      <c r="E329" s="5" t="s">
        <v>67</v>
      </c>
      <c r="F329" s="5" t="s">
        <v>29</v>
      </c>
      <c r="G329" s="5" t="s">
        <v>178</v>
      </c>
      <c r="H329" s="5">
        <v>100</v>
      </c>
      <c r="I329" s="25">
        <v>7280</v>
      </c>
      <c r="J329" s="9">
        <v>0</v>
      </c>
      <c r="K329" s="9">
        <v>0</v>
      </c>
      <c r="L329" s="9" t="s">
        <v>90</v>
      </c>
      <c r="M329" s="15">
        <f t="shared" si="7"/>
        <v>728000</v>
      </c>
      <c r="N329" s="21">
        <v>1200</v>
      </c>
    </row>
    <row r="330" spans="1:14" x14ac:dyDescent="0.45">
      <c r="A330" s="4">
        <v>45175</v>
      </c>
      <c r="B330" s="4">
        <v>45177</v>
      </c>
      <c r="C330" s="5">
        <v>8031</v>
      </c>
      <c r="D330" s="9" t="s">
        <v>195</v>
      </c>
      <c r="E330" s="5" t="s">
        <v>67</v>
      </c>
      <c r="F330" s="5" t="s">
        <v>29</v>
      </c>
      <c r="G330" s="5" t="s">
        <v>178</v>
      </c>
      <c r="H330" s="5">
        <v>100</v>
      </c>
      <c r="I330" s="25">
        <v>5652</v>
      </c>
      <c r="J330" s="9">
        <v>0</v>
      </c>
      <c r="K330" s="9">
        <v>0</v>
      </c>
      <c r="L330" s="9" t="s">
        <v>90</v>
      </c>
      <c r="M330" s="15">
        <f t="shared" si="7"/>
        <v>565200</v>
      </c>
      <c r="N330" s="21">
        <v>2500</v>
      </c>
    </row>
    <row r="331" spans="1:14" x14ac:dyDescent="0.45">
      <c r="A331" s="4">
        <v>45177</v>
      </c>
      <c r="B331" s="4">
        <v>45181</v>
      </c>
      <c r="C331" s="5">
        <v>7974</v>
      </c>
      <c r="D331" s="9" t="s">
        <v>174</v>
      </c>
      <c r="E331" s="5" t="s">
        <v>68</v>
      </c>
      <c r="F331" s="5" t="s">
        <v>175</v>
      </c>
      <c r="G331" s="5" t="s">
        <v>178</v>
      </c>
      <c r="H331" s="5">
        <v>100</v>
      </c>
      <c r="I331" s="25">
        <v>6366.4</v>
      </c>
      <c r="J331" s="9">
        <v>0</v>
      </c>
      <c r="K331" s="9">
        <v>0</v>
      </c>
      <c r="L331" s="9" t="s">
        <v>90</v>
      </c>
      <c r="M331" s="15">
        <f t="shared" si="7"/>
        <v>636640</v>
      </c>
      <c r="N331" s="21">
        <v>2640</v>
      </c>
    </row>
    <row r="332" spans="1:14" x14ac:dyDescent="0.45">
      <c r="A332" s="4">
        <v>45184</v>
      </c>
      <c r="B332" s="4">
        <v>45189</v>
      </c>
      <c r="C332" s="5">
        <v>5108</v>
      </c>
      <c r="D332" s="9" t="s">
        <v>186</v>
      </c>
      <c r="E332" s="5" t="s">
        <v>68</v>
      </c>
      <c r="F332" s="5" t="s">
        <v>175</v>
      </c>
      <c r="G332" s="5" t="s">
        <v>178</v>
      </c>
      <c r="H332" s="5">
        <v>100</v>
      </c>
      <c r="I332" s="25">
        <v>5995</v>
      </c>
      <c r="J332" s="9">
        <v>0</v>
      </c>
      <c r="K332" s="9">
        <v>0</v>
      </c>
      <c r="L332" s="9" t="s">
        <v>90</v>
      </c>
      <c r="M332" s="15">
        <f t="shared" si="7"/>
        <v>599500</v>
      </c>
      <c r="N332" s="19">
        <v>18000</v>
      </c>
    </row>
    <row r="333" spans="1:14" x14ac:dyDescent="0.45">
      <c r="A333" s="4">
        <v>45197</v>
      </c>
      <c r="B333" s="4">
        <v>45201</v>
      </c>
      <c r="C333" s="5">
        <v>9433</v>
      </c>
      <c r="D333" s="9" t="s">
        <v>71</v>
      </c>
      <c r="E333" s="5" t="s">
        <v>68</v>
      </c>
      <c r="F333" s="5" t="s">
        <v>175</v>
      </c>
      <c r="G333" s="5" t="s">
        <v>178</v>
      </c>
      <c r="H333" s="5">
        <v>200</v>
      </c>
      <c r="I333" s="25">
        <v>4552</v>
      </c>
      <c r="J333" s="9">
        <v>0</v>
      </c>
      <c r="K333" s="9">
        <v>0</v>
      </c>
      <c r="L333" s="9" t="s">
        <v>90</v>
      </c>
      <c r="M333" s="15">
        <f t="shared" si="7"/>
        <v>910400</v>
      </c>
      <c r="N333" s="19">
        <v>18350</v>
      </c>
    </row>
    <row r="334" spans="1:14" x14ac:dyDescent="0.45">
      <c r="A334" s="4">
        <v>45198</v>
      </c>
      <c r="B334" s="4">
        <v>45202</v>
      </c>
      <c r="C334" s="5">
        <v>1911</v>
      </c>
      <c r="D334" s="9" t="s">
        <v>204</v>
      </c>
      <c r="E334" s="5" t="s">
        <v>68</v>
      </c>
      <c r="F334" s="5" t="s">
        <v>175</v>
      </c>
      <c r="G334" s="5" t="s">
        <v>176</v>
      </c>
      <c r="H334" s="5">
        <v>100</v>
      </c>
      <c r="I334" s="25">
        <v>3843.5</v>
      </c>
      <c r="J334" s="9">
        <v>0</v>
      </c>
      <c r="K334" s="9">
        <v>0</v>
      </c>
      <c r="L334" s="9" t="s">
        <v>177</v>
      </c>
      <c r="M334" s="15">
        <f t="shared" si="7"/>
        <v>384350</v>
      </c>
      <c r="N334" s="19">
        <v>0</v>
      </c>
    </row>
    <row r="335" spans="1:14" x14ac:dyDescent="0.45">
      <c r="A335" s="4">
        <v>45198</v>
      </c>
      <c r="B335" s="4">
        <v>45202</v>
      </c>
      <c r="C335" s="5">
        <v>1928</v>
      </c>
      <c r="D335" s="9" t="s">
        <v>222</v>
      </c>
      <c r="E335" s="5" t="s">
        <v>67</v>
      </c>
      <c r="F335" s="5" t="s">
        <v>29</v>
      </c>
      <c r="G335" s="5" t="s">
        <v>176</v>
      </c>
      <c r="H335" s="5">
        <v>100</v>
      </c>
      <c r="I335" s="25">
        <v>2980</v>
      </c>
      <c r="J335" s="9">
        <v>0</v>
      </c>
      <c r="K335" s="9">
        <v>0</v>
      </c>
      <c r="L335" s="9" t="s">
        <v>177</v>
      </c>
      <c r="M335" s="15">
        <f t="shared" si="7"/>
        <v>298000</v>
      </c>
      <c r="N335" s="19">
        <v>0</v>
      </c>
    </row>
    <row r="336" spans="1:14" x14ac:dyDescent="0.45">
      <c r="A336" s="4">
        <v>45204</v>
      </c>
      <c r="B336" s="4">
        <v>45209</v>
      </c>
      <c r="C336" s="5">
        <v>5186</v>
      </c>
      <c r="D336" s="9" t="s">
        <v>224</v>
      </c>
      <c r="E336" s="5" t="s">
        <v>67</v>
      </c>
      <c r="F336" s="5" t="s">
        <v>29</v>
      </c>
      <c r="G336" s="5" t="s">
        <v>176</v>
      </c>
      <c r="H336" s="5">
        <v>100</v>
      </c>
      <c r="I336" s="25">
        <v>3405</v>
      </c>
      <c r="J336" s="9">
        <v>0</v>
      </c>
      <c r="K336" s="9">
        <v>0</v>
      </c>
      <c r="L336" s="9" t="s">
        <v>177</v>
      </c>
      <c r="M336" s="15">
        <f t="shared" si="7"/>
        <v>340500</v>
      </c>
      <c r="N336" s="19">
        <v>0</v>
      </c>
    </row>
    <row r="337" spans="1:14" x14ac:dyDescent="0.45">
      <c r="A337" s="4">
        <v>45205</v>
      </c>
      <c r="B337" s="4">
        <v>45210</v>
      </c>
      <c r="C337" s="5">
        <v>5021</v>
      </c>
      <c r="D337" s="9" t="s">
        <v>280</v>
      </c>
      <c r="E337" s="5" t="s">
        <v>67</v>
      </c>
      <c r="F337" s="5" t="s">
        <v>29</v>
      </c>
      <c r="G337" s="5" t="s">
        <v>176</v>
      </c>
      <c r="H337" s="5">
        <v>100</v>
      </c>
      <c r="I337" s="25">
        <v>4789.3999999999996</v>
      </c>
      <c r="J337" s="9">
        <v>0</v>
      </c>
      <c r="K337" s="9">
        <v>0</v>
      </c>
      <c r="L337" s="9" t="s">
        <v>177</v>
      </c>
      <c r="M337" s="15">
        <f t="shared" si="7"/>
        <v>478939.99999999994</v>
      </c>
      <c r="N337" s="19">
        <v>0</v>
      </c>
    </row>
    <row r="338" spans="1:14" x14ac:dyDescent="0.45">
      <c r="A338" s="4">
        <v>45205</v>
      </c>
      <c r="B338" s="4">
        <v>45210</v>
      </c>
      <c r="C338" s="5">
        <v>5401</v>
      </c>
      <c r="D338" s="9" t="s">
        <v>180</v>
      </c>
      <c r="E338" s="5" t="s">
        <v>67</v>
      </c>
      <c r="F338" s="5" t="s">
        <v>29</v>
      </c>
      <c r="G338" s="5" t="s">
        <v>176</v>
      </c>
      <c r="H338" s="5">
        <v>100</v>
      </c>
      <c r="I338" s="25">
        <v>3330</v>
      </c>
      <c r="J338" s="9">
        <v>0</v>
      </c>
      <c r="K338" s="9">
        <v>0</v>
      </c>
      <c r="L338" s="9" t="s">
        <v>177</v>
      </c>
      <c r="M338" s="15">
        <f t="shared" si="7"/>
        <v>333000</v>
      </c>
      <c r="N338" s="19">
        <v>0</v>
      </c>
    </row>
    <row r="339" spans="1:14" x14ac:dyDescent="0.45">
      <c r="A339" s="4">
        <v>45205</v>
      </c>
      <c r="B339" s="4">
        <v>45210</v>
      </c>
      <c r="C339" s="5">
        <v>9104</v>
      </c>
      <c r="D339" s="9" t="s">
        <v>191</v>
      </c>
      <c r="E339" s="5" t="s">
        <v>67</v>
      </c>
      <c r="F339" s="5" t="s">
        <v>29</v>
      </c>
      <c r="G339" s="5" t="s">
        <v>176</v>
      </c>
      <c r="H339" s="5">
        <v>100</v>
      </c>
      <c r="I339" s="25">
        <v>4017</v>
      </c>
      <c r="J339" s="9">
        <v>0</v>
      </c>
      <c r="K339" s="9">
        <v>0</v>
      </c>
      <c r="L339" s="9" t="s">
        <v>177</v>
      </c>
      <c r="M339" s="15">
        <f t="shared" si="7"/>
        <v>401700</v>
      </c>
      <c r="N339" s="19">
        <v>0</v>
      </c>
    </row>
    <row r="340" spans="1:14" x14ac:dyDescent="0.45">
      <c r="A340" s="4">
        <v>45209</v>
      </c>
      <c r="B340" s="4">
        <v>45211</v>
      </c>
      <c r="C340" s="5">
        <v>8766</v>
      </c>
      <c r="D340" s="9" t="s">
        <v>44</v>
      </c>
      <c r="E340" s="5" t="s">
        <v>67</v>
      </c>
      <c r="F340" s="5" t="s">
        <v>29</v>
      </c>
      <c r="G340" s="5" t="s">
        <v>176</v>
      </c>
      <c r="H340" s="5">
        <v>100</v>
      </c>
      <c r="I340" s="25">
        <v>3440</v>
      </c>
      <c r="J340" s="9">
        <v>0</v>
      </c>
      <c r="K340" s="9">
        <v>0</v>
      </c>
      <c r="L340" s="9" t="s">
        <v>177</v>
      </c>
      <c r="M340" s="15">
        <f t="shared" si="7"/>
        <v>344000</v>
      </c>
      <c r="N340" s="19">
        <v>0</v>
      </c>
    </row>
    <row r="341" spans="1:14" x14ac:dyDescent="0.45">
      <c r="A341" s="4">
        <v>45209</v>
      </c>
      <c r="B341" s="4">
        <v>45211</v>
      </c>
      <c r="C341" s="5">
        <v>4041</v>
      </c>
      <c r="D341" s="9" t="s">
        <v>181</v>
      </c>
      <c r="E341" s="5" t="s">
        <v>67</v>
      </c>
      <c r="F341" s="5" t="s">
        <v>29</v>
      </c>
      <c r="G341" s="5" t="s">
        <v>176</v>
      </c>
      <c r="H341" s="5">
        <v>100</v>
      </c>
      <c r="I341" s="25">
        <v>5450</v>
      </c>
      <c r="J341" s="9">
        <v>0</v>
      </c>
      <c r="K341" s="9">
        <v>0</v>
      </c>
      <c r="L341" s="9" t="s">
        <v>177</v>
      </c>
      <c r="M341" s="15">
        <f t="shared" si="7"/>
        <v>545000</v>
      </c>
      <c r="N341" s="19">
        <v>0</v>
      </c>
    </row>
    <row r="342" spans="1:14" x14ac:dyDescent="0.45">
      <c r="A342" s="4">
        <v>45211</v>
      </c>
      <c r="B342" s="4">
        <v>45215</v>
      </c>
      <c r="C342" s="5">
        <v>4401</v>
      </c>
      <c r="D342" s="6" t="s">
        <v>225</v>
      </c>
      <c r="E342" s="5" t="s">
        <v>68</v>
      </c>
      <c r="F342" s="5" t="s">
        <v>175</v>
      </c>
      <c r="G342" s="5" t="s">
        <v>176</v>
      </c>
      <c r="H342" s="5">
        <v>100</v>
      </c>
      <c r="I342" s="25">
        <v>2650</v>
      </c>
      <c r="J342" s="9">
        <v>0</v>
      </c>
      <c r="K342" s="9">
        <v>0</v>
      </c>
      <c r="L342" s="9" t="s">
        <v>177</v>
      </c>
      <c r="M342" s="15">
        <f t="shared" si="7"/>
        <v>265000</v>
      </c>
      <c r="N342" s="19">
        <v>0</v>
      </c>
    </row>
    <row r="343" spans="1:14" x14ac:dyDescent="0.45">
      <c r="A343" s="4">
        <v>45211</v>
      </c>
      <c r="B343" s="4">
        <v>45215</v>
      </c>
      <c r="C343" s="5">
        <v>5021</v>
      </c>
      <c r="D343" s="9" t="s">
        <v>280</v>
      </c>
      <c r="E343" s="5" t="s">
        <v>68</v>
      </c>
      <c r="F343" s="5" t="s">
        <v>175</v>
      </c>
      <c r="G343" s="5" t="s">
        <v>178</v>
      </c>
      <c r="H343" s="5">
        <v>100</v>
      </c>
      <c r="I343" s="25">
        <v>5106</v>
      </c>
      <c r="J343" s="9">
        <v>0</v>
      </c>
      <c r="K343" s="9">
        <v>0</v>
      </c>
      <c r="L343" s="9" t="s">
        <v>90</v>
      </c>
      <c r="M343" s="15">
        <f t="shared" si="7"/>
        <v>510600</v>
      </c>
      <c r="N343" s="19">
        <v>31660</v>
      </c>
    </row>
    <row r="344" spans="1:14" x14ac:dyDescent="0.45">
      <c r="A344" s="4">
        <v>45211</v>
      </c>
      <c r="B344" s="4">
        <v>45215</v>
      </c>
      <c r="C344" s="5">
        <v>8031</v>
      </c>
      <c r="D344" s="9" t="s">
        <v>195</v>
      </c>
      <c r="E344" s="5" t="s">
        <v>68</v>
      </c>
      <c r="F344" s="5" t="s">
        <v>175</v>
      </c>
      <c r="G344" s="5" t="s">
        <v>176</v>
      </c>
      <c r="H344" s="5">
        <v>100</v>
      </c>
      <c r="I344" s="25">
        <v>5422.9</v>
      </c>
      <c r="J344" s="9">
        <v>0</v>
      </c>
      <c r="K344" s="9">
        <v>0</v>
      </c>
      <c r="L344" s="9" t="s">
        <v>177</v>
      </c>
      <c r="M344" s="15">
        <f t="shared" si="7"/>
        <v>542290</v>
      </c>
      <c r="N344" s="19">
        <v>0</v>
      </c>
    </row>
    <row r="345" spans="1:14" x14ac:dyDescent="0.45">
      <c r="A345" s="4">
        <v>45215</v>
      </c>
      <c r="B345" s="4">
        <v>45217</v>
      </c>
      <c r="C345" s="5">
        <v>1911</v>
      </c>
      <c r="D345" s="9" t="s">
        <v>204</v>
      </c>
      <c r="E345" s="5" t="s">
        <v>68</v>
      </c>
      <c r="F345" s="5" t="s">
        <v>175</v>
      </c>
      <c r="G345" s="5" t="s">
        <v>176</v>
      </c>
      <c r="H345" s="5">
        <v>100</v>
      </c>
      <c r="I345" s="25">
        <v>3600</v>
      </c>
      <c r="J345" s="9">
        <v>0</v>
      </c>
      <c r="K345" s="9">
        <v>0</v>
      </c>
      <c r="L345" s="9" t="s">
        <v>177</v>
      </c>
      <c r="M345" s="15">
        <f t="shared" si="7"/>
        <v>360000</v>
      </c>
      <c r="N345" s="19">
        <v>0</v>
      </c>
    </row>
    <row r="346" spans="1:14" x14ac:dyDescent="0.45">
      <c r="A346" s="4">
        <v>45215</v>
      </c>
      <c r="B346" s="4">
        <v>45217</v>
      </c>
      <c r="C346" s="5">
        <v>2502</v>
      </c>
      <c r="D346" s="9" t="s">
        <v>221</v>
      </c>
      <c r="E346" s="5" t="s">
        <v>68</v>
      </c>
      <c r="F346" s="5" t="s">
        <v>175</v>
      </c>
      <c r="G346" s="5" t="s">
        <v>176</v>
      </c>
      <c r="H346" s="5">
        <v>100</v>
      </c>
      <c r="I346" s="25">
        <v>5390</v>
      </c>
      <c r="J346" s="9">
        <v>0</v>
      </c>
      <c r="K346" s="9">
        <v>0</v>
      </c>
      <c r="L346" s="9" t="s">
        <v>177</v>
      </c>
      <c r="M346" s="15">
        <f t="shared" si="7"/>
        <v>539000</v>
      </c>
      <c r="N346" s="19">
        <v>0</v>
      </c>
    </row>
    <row r="347" spans="1:14" x14ac:dyDescent="0.45">
      <c r="A347" s="4">
        <v>45215</v>
      </c>
      <c r="B347" s="4">
        <v>45217</v>
      </c>
      <c r="C347" s="5">
        <v>4183</v>
      </c>
      <c r="D347" s="9" t="s">
        <v>226</v>
      </c>
      <c r="E347" s="5" t="s">
        <v>68</v>
      </c>
      <c r="F347" s="5" t="s">
        <v>175</v>
      </c>
      <c r="G347" s="5" t="s">
        <v>176</v>
      </c>
      <c r="H347" s="5">
        <v>100</v>
      </c>
      <c r="I347" s="25">
        <v>3758</v>
      </c>
      <c r="J347" s="9">
        <v>0</v>
      </c>
      <c r="K347" s="9">
        <v>0</v>
      </c>
      <c r="L347" s="9" t="s">
        <v>177</v>
      </c>
      <c r="M347" s="15">
        <f t="shared" si="7"/>
        <v>375800</v>
      </c>
      <c r="N347" s="19">
        <v>0</v>
      </c>
    </row>
    <row r="348" spans="1:14" x14ac:dyDescent="0.45">
      <c r="A348" s="4">
        <v>45215</v>
      </c>
      <c r="B348" s="4">
        <v>45217</v>
      </c>
      <c r="C348" s="5">
        <v>8012</v>
      </c>
      <c r="D348" s="9" t="s">
        <v>227</v>
      </c>
      <c r="E348" s="5" t="s">
        <v>68</v>
      </c>
      <c r="F348" s="5" t="s">
        <v>175</v>
      </c>
      <c r="G348" s="5" t="s">
        <v>176</v>
      </c>
      <c r="H348" s="5">
        <v>100</v>
      </c>
      <c r="I348" s="25">
        <v>2299</v>
      </c>
      <c r="J348" s="9">
        <v>0</v>
      </c>
      <c r="K348" s="9">
        <v>0</v>
      </c>
      <c r="L348" s="9" t="s">
        <v>177</v>
      </c>
      <c r="M348" s="15">
        <f t="shared" si="7"/>
        <v>229900</v>
      </c>
      <c r="N348" s="19">
        <v>0</v>
      </c>
    </row>
    <row r="349" spans="1:14" x14ac:dyDescent="0.45">
      <c r="A349" s="4">
        <v>45217</v>
      </c>
      <c r="B349" s="4">
        <v>45219</v>
      </c>
      <c r="C349" s="5">
        <v>8316</v>
      </c>
      <c r="D349" s="9" t="s">
        <v>228</v>
      </c>
      <c r="E349" s="5" t="s">
        <v>68</v>
      </c>
      <c r="F349" s="5" t="s">
        <v>175</v>
      </c>
      <c r="G349" s="5" t="s">
        <v>176</v>
      </c>
      <c r="H349" s="5">
        <v>100</v>
      </c>
      <c r="I349" s="25">
        <v>7357</v>
      </c>
      <c r="J349" s="9">
        <v>0</v>
      </c>
      <c r="K349" s="9">
        <v>0</v>
      </c>
      <c r="L349" s="9" t="s">
        <v>177</v>
      </c>
      <c r="M349" s="15">
        <f t="shared" si="7"/>
        <v>735700</v>
      </c>
      <c r="N349" s="19">
        <v>0</v>
      </c>
    </row>
    <row r="350" spans="1:14" x14ac:dyDescent="0.45">
      <c r="A350" s="4">
        <v>45218</v>
      </c>
      <c r="B350" s="4">
        <v>45222</v>
      </c>
      <c r="C350" s="5">
        <v>5108</v>
      </c>
      <c r="D350" s="9" t="s">
        <v>186</v>
      </c>
      <c r="E350" s="5" t="s">
        <v>68</v>
      </c>
      <c r="F350" s="5" t="s">
        <v>175</v>
      </c>
      <c r="G350" s="5" t="s">
        <v>176</v>
      </c>
      <c r="H350" s="5">
        <v>100</v>
      </c>
      <c r="I350" s="25">
        <v>5765</v>
      </c>
      <c r="J350" s="9">
        <v>0</v>
      </c>
      <c r="K350" s="9">
        <v>0</v>
      </c>
      <c r="L350" s="9" t="s">
        <v>177</v>
      </c>
      <c r="M350" s="15">
        <f t="shared" si="7"/>
        <v>576500</v>
      </c>
      <c r="N350" s="19">
        <v>0</v>
      </c>
    </row>
    <row r="351" spans="1:14" x14ac:dyDescent="0.45">
      <c r="A351" s="4">
        <v>45219</v>
      </c>
      <c r="B351" s="4">
        <v>45223</v>
      </c>
      <c r="C351" s="5">
        <v>8058</v>
      </c>
      <c r="D351" s="9" t="s">
        <v>72</v>
      </c>
      <c r="E351" s="5" t="s">
        <v>67</v>
      </c>
      <c r="F351" s="5" t="s">
        <v>29</v>
      </c>
      <c r="G351" s="5" t="s">
        <v>176</v>
      </c>
      <c r="H351" s="5">
        <v>100</v>
      </c>
      <c r="I351" s="25">
        <v>6980</v>
      </c>
      <c r="J351" s="9">
        <v>0</v>
      </c>
      <c r="K351" s="9">
        <v>0</v>
      </c>
      <c r="L351" s="9" t="s">
        <v>177</v>
      </c>
      <c r="M351" s="15">
        <f t="shared" si="7"/>
        <v>698000</v>
      </c>
      <c r="N351" s="19">
        <v>0</v>
      </c>
    </row>
    <row r="352" spans="1:14" x14ac:dyDescent="0.45">
      <c r="A352" s="4">
        <v>45232</v>
      </c>
      <c r="B352" s="4">
        <v>45237</v>
      </c>
      <c r="C352" s="5">
        <v>4401</v>
      </c>
      <c r="D352" s="6" t="s">
        <v>225</v>
      </c>
      <c r="E352" s="5" t="s">
        <v>68</v>
      </c>
      <c r="F352" s="5" t="s">
        <v>175</v>
      </c>
      <c r="G352" s="5" t="s">
        <v>176</v>
      </c>
      <c r="H352" s="5">
        <v>100</v>
      </c>
      <c r="I352" s="25">
        <v>2543</v>
      </c>
      <c r="J352" s="9">
        <v>0</v>
      </c>
      <c r="K352" s="9">
        <v>0</v>
      </c>
      <c r="L352" s="9" t="s">
        <v>177</v>
      </c>
      <c r="M352" s="15">
        <f t="shared" si="7"/>
        <v>254300</v>
      </c>
      <c r="N352" s="19">
        <v>0</v>
      </c>
    </row>
    <row r="353" spans="1:14" x14ac:dyDescent="0.45">
      <c r="A353" s="4">
        <v>45232</v>
      </c>
      <c r="B353" s="4">
        <v>45237</v>
      </c>
      <c r="C353" s="5">
        <v>9433</v>
      </c>
      <c r="D353" s="9" t="s">
        <v>71</v>
      </c>
      <c r="E353" s="5" t="s">
        <v>68</v>
      </c>
      <c r="F353" s="5" t="s">
        <v>175</v>
      </c>
      <c r="G353" s="5" t="s">
        <v>176</v>
      </c>
      <c r="H353" s="5">
        <v>100</v>
      </c>
      <c r="I353" s="25">
        <v>4490</v>
      </c>
      <c r="J353" s="9">
        <v>0</v>
      </c>
      <c r="K353" s="9">
        <v>0</v>
      </c>
      <c r="L353" s="9" t="s">
        <v>177</v>
      </c>
      <c r="M353" s="15">
        <f t="shared" si="7"/>
        <v>449000</v>
      </c>
      <c r="N353" s="19">
        <v>0</v>
      </c>
    </row>
    <row r="354" spans="1:14" x14ac:dyDescent="0.45">
      <c r="A354" s="4">
        <v>45232</v>
      </c>
      <c r="B354" s="4">
        <v>45237</v>
      </c>
      <c r="C354" s="5">
        <v>3397</v>
      </c>
      <c r="D354" s="9" t="s">
        <v>110</v>
      </c>
      <c r="E354" s="5" t="s">
        <v>67</v>
      </c>
      <c r="F354" s="5" t="s">
        <v>29</v>
      </c>
      <c r="G354" s="5" t="s">
        <v>176</v>
      </c>
      <c r="H354" s="5">
        <v>100</v>
      </c>
      <c r="I354" s="25">
        <v>3605</v>
      </c>
      <c r="J354" s="9">
        <v>0</v>
      </c>
      <c r="K354" s="9">
        <v>0</v>
      </c>
      <c r="L354" s="9" t="s">
        <v>177</v>
      </c>
      <c r="M354" s="15">
        <f t="shared" si="7"/>
        <v>360500</v>
      </c>
      <c r="N354" s="19">
        <v>0</v>
      </c>
    </row>
    <row r="355" spans="1:14" x14ac:dyDescent="0.45">
      <c r="A355" s="4">
        <v>45239</v>
      </c>
      <c r="B355" s="4">
        <v>45243</v>
      </c>
      <c r="C355" s="5">
        <v>9201</v>
      </c>
      <c r="D355" s="9" t="s">
        <v>229</v>
      </c>
      <c r="E355" s="5" t="s">
        <v>67</v>
      </c>
      <c r="F355" s="5" t="s">
        <v>29</v>
      </c>
      <c r="G355" s="5" t="s">
        <v>176</v>
      </c>
      <c r="H355" s="5">
        <v>100</v>
      </c>
      <c r="I355" s="25">
        <v>2818.5</v>
      </c>
      <c r="J355" s="9">
        <v>0</v>
      </c>
      <c r="K355" s="9">
        <v>0</v>
      </c>
      <c r="L355" s="9" t="s">
        <v>177</v>
      </c>
      <c r="M355" s="15">
        <f t="shared" si="7"/>
        <v>281850</v>
      </c>
      <c r="N355" s="19">
        <v>0</v>
      </c>
    </row>
    <row r="356" spans="1:14" x14ac:dyDescent="0.45">
      <c r="A356" s="4">
        <v>45264</v>
      </c>
      <c r="B356" s="4">
        <v>45266</v>
      </c>
      <c r="C356" s="5">
        <v>4523</v>
      </c>
      <c r="D356" s="9" t="s">
        <v>223</v>
      </c>
      <c r="E356" s="5" t="s">
        <v>67</v>
      </c>
      <c r="F356" s="5" t="s">
        <v>29</v>
      </c>
      <c r="G356" s="5" t="s">
        <v>178</v>
      </c>
      <c r="H356" s="5">
        <v>100</v>
      </c>
      <c r="I356" s="25">
        <v>7509</v>
      </c>
      <c r="J356" s="9">
        <v>0</v>
      </c>
      <c r="K356" s="9">
        <v>0</v>
      </c>
      <c r="L356" s="9" t="s">
        <v>90</v>
      </c>
      <c r="M356" s="15">
        <f t="shared" si="7"/>
        <v>750900</v>
      </c>
      <c r="N356" s="19">
        <v>-176290</v>
      </c>
    </row>
    <row r="357" spans="1:14" x14ac:dyDescent="0.45">
      <c r="A357" s="4">
        <v>45265</v>
      </c>
      <c r="B357" s="4">
        <v>45267</v>
      </c>
      <c r="C357" s="5">
        <v>2914</v>
      </c>
      <c r="D357" s="9" t="s">
        <v>107</v>
      </c>
      <c r="E357" s="5" t="s">
        <v>67</v>
      </c>
      <c r="F357" s="5" t="s">
        <v>29</v>
      </c>
      <c r="G357" s="5" t="s">
        <v>176</v>
      </c>
      <c r="H357" s="5">
        <v>100</v>
      </c>
      <c r="I357" s="25">
        <v>3803</v>
      </c>
      <c r="J357" s="9">
        <v>0</v>
      </c>
      <c r="K357" s="9">
        <v>0</v>
      </c>
      <c r="L357" s="9" t="s">
        <v>177</v>
      </c>
      <c r="M357" s="15">
        <f t="shared" si="7"/>
        <v>380300</v>
      </c>
      <c r="N357" s="19">
        <v>0</v>
      </c>
    </row>
    <row r="358" spans="1:14" x14ac:dyDescent="0.45">
      <c r="A358" s="4">
        <v>45265</v>
      </c>
      <c r="B358" s="4">
        <v>45267</v>
      </c>
      <c r="C358" s="5">
        <v>7867</v>
      </c>
      <c r="D358" s="6" t="s">
        <v>40</v>
      </c>
      <c r="E358" s="5" t="s">
        <v>67</v>
      </c>
      <c r="F358" s="5" t="s">
        <v>29</v>
      </c>
      <c r="G358" s="5" t="s">
        <v>176</v>
      </c>
      <c r="H358" s="5">
        <v>100</v>
      </c>
      <c r="I358" s="25">
        <v>2073</v>
      </c>
      <c r="J358" s="9">
        <v>0</v>
      </c>
      <c r="K358" s="9">
        <v>0</v>
      </c>
      <c r="L358" s="9" t="s">
        <v>177</v>
      </c>
      <c r="M358" s="15">
        <f t="shared" ref="M358:M381" si="8">IF(G358="買付",H358*I358+SUM(J358:K358),H358*I358-SUM(J358:K358))</f>
        <v>207300</v>
      </c>
      <c r="N358" s="19">
        <v>0</v>
      </c>
    </row>
    <row r="359" spans="1:14" x14ac:dyDescent="0.45">
      <c r="A359" s="4">
        <v>45265</v>
      </c>
      <c r="B359" s="4">
        <v>45267</v>
      </c>
      <c r="C359" s="5">
        <v>7867</v>
      </c>
      <c r="D359" s="6" t="s">
        <v>40</v>
      </c>
      <c r="E359" s="5" t="s">
        <v>67</v>
      </c>
      <c r="F359" s="5" t="s">
        <v>29</v>
      </c>
      <c r="G359" s="5" t="s">
        <v>176</v>
      </c>
      <c r="H359" s="5">
        <v>100</v>
      </c>
      <c r="I359" s="25">
        <v>2080.5</v>
      </c>
      <c r="J359" s="9">
        <v>0</v>
      </c>
      <c r="K359" s="9">
        <v>0</v>
      </c>
      <c r="L359" s="9" t="s">
        <v>90</v>
      </c>
      <c r="M359" s="15">
        <f t="shared" si="8"/>
        <v>208050</v>
      </c>
      <c r="N359" s="21">
        <v>750</v>
      </c>
    </row>
    <row r="360" spans="1:14" x14ac:dyDescent="0.45">
      <c r="A360" s="4">
        <v>45265</v>
      </c>
      <c r="B360" s="4">
        <v>45267</v>
      </c>
      <c r="C360" s="5">
        <v>8001</v>
      </c>
      <c r="D360" s="9" t="s">
        <v>203</v>
      </c>
      <c r="E360" s="5" t="s">
        <v>67</v>
      </c>
      <c r="F360" s="5" t="s">
        <v>29</v>
      </c>
      <c r="G360" s="5" t="s">
        <v>176</v>
      </c>
      <c r="H360" s="5">
        <v>100</v>
      </c>
      <c r="I360" s="25">
        <v>5799</v>
      </c>
      <c r="J360" s="9">
        <v>0</v>
      </c>
      <c r="K360" s="9">
        <v>0</v>
      </c>
      <c r="L360" s="9" t="s">
        <v>177</v>
      </c>
      <c r="M360" s="15">
        <f t="shared" si="8"/>
        <v>579900</v>
      </c>
      <c r="N360" s="19">
        <v>0</v>
      </c>
    </row>
    <row r="361" spans="1:14" x14ac:dyDescent="0.45">
      <c r="A361" s="4">
        <v>45265</v>
      </c>
      <c r="B361" s="4">
        <v>45267</v>
      </c>
      <c r="C361" s="5">
        <v>8584</v>
      </c>
      <c r="D361" s="9" t="s">
        <v>184</v>
      </c>
      <c r="E361" s="5" t="s">
        <v>67</v>
      </c>
      <c r="F361" s="5" t="s">
        <v>29</v>
      </c>
      <c r="G361" s="5" t="s">
        <v>176</v>
      </c>
      <c r="H361" s="5">
        <v>100</v>
      </c>
      <c r="I361" s="25">
        <v>5240</v>
      </c>
      <c r="J361" s="9">
        <v>0</v>
      </c>
      <c r="K361" s="9">
        <v>0</v>
      </c>
      <c r="L361" s="9" t="s">
        <v>177</v>
      </c>
      <c r="M361" s="15">
        <f t="shared" si="8"/>
        <v>524000</v>
      </c>
      <c r="N361" s="19">
        <v>0</v>
      </c>
    </row>
    <row r="362" spans="1:14" x14ac:dyDescent="0.45">
      <c r="A362" s="4">
        <v>45268</v>
      </c>
      <c r="B362" s="4">
        <v>45272</v>
      </c>
      <c r="C362" s="5">
        <v>8766</v>
      </c>
      <c r="D362" s="9" t="s">
        <v>44</v>
      </c>
      <c r="E362" s="5" t="s">
        <v>67</v>
      </c>
      <c r="F362" s="5" t="s">
        <v>29</v>
      </c>
      <c r="G362" s="5" t="s">
        <v>178</v>
      </c>
      <c r="H362" s="5">
        <v>100</v>
      </c>
      <c r="I362" s="25">
        <v>3708</v>
      </c>
      <c r="J362" s="9">
        <v>0</v>
      </c>
      <c r="K362" s="9">
        <v>0</v>
      </c>
      <c r="L362" s="9" t="s">
        <v>90</v>
      </c>
      <c r="M362" s="15">
        <f t="shared" si="8"/>
        <v>370800</v>
      </c>
      <c r="N362" s="19">
        <v>26800</v>
      </c>
    </row>
    <row r="363" spans="1:14" x14ac:dyDescent="0.45">
      <c r="A363" s="4">
        <v>45268</v>
      </c>
      <c r="B363" s="4">
        <v>45272</v>
      </c>
      <c r="C363" s="5">
        <v>9201</v>
      </c>
      <c r="D363" s="9" t="s">
        <v>229</v>
      </c>
      <c r="E363" s="5" t="s">
        <v>67</v>
      </c>
      <c r="F363" s="5" t="s">
        <v>29</v>
      </c>
      <c r="G363" s="5" t="s">
        <v>178</v>
      </c>
      <c r="H363" s="5">
        <v>100</v>
      </c>
      <c r="I363" s="25">
        <v>2875.5</v>
      </c>
      <c r="J363" s="9">
        <v>0</v>
      </c>
      <c r="K363" s="9">
        <v>0</v>
      </c>
      <c r="L363" s="9" t="s">
        <v>90</v>
      </c>
      <c r="M363" s="15">
        <f t="shared" si="8"/>
        <v>287550</v>
      </c>
      <c r="N363" s="19">
        <v>5700</v>
      </c>
    </row>
    <row r="364" spans="1:14" x14ac:dyDescent="0.45">
      <c r="A364" s="4">
        <v>45271</v>
      </c>
      <c r="B364" s="4">
        <v>45273</v>
      </c>
      <c r="C364" s="5">
        <v>9104</v>
      </c>
      <c r="D364" s="9" t="s">
        <v>191</v>
      </c>
      <c r="E364" s="5" t="s">
        <v>67</v>
      </c>
      <c r="F364" s="5" t="s">
        <v>29</v>
      </c>
      <c r="G364" s="5" t="s">
        <v>178</v>
      </c>
      <c r="H364" s="5">
        <v>100</v>
      </c>
      <c r="I364" s="25">
        <v>4027</v>
      </c>
      <c r="J364" s="9">
        <v>0</v>
      </c>
      <c r="K364" s="9">
        <v>0</v>
      </c>
      <c r="L364" s="9" t="s">
        <v>90</v>
      </c>
      <c r="M364" s="15">
        <f t="shared" si="8"/>
        <v>402700</v>
      </c>
      <c r="N364" s="19">
        <v>1000</v>
      </c>
    </row>
    <row r="365" spans="1:14" x14ac:dyDescent="0.45">
      <c r="A365" s="4">
        <v>45271</v>
      </c>
      <c r="B365" s="4">
        <v>45273</v>
      </c>
      <c r="C365" s="5">
        <v>1911</v>
      </c>
      <c r="D365" s="9" t="s">
        <v>204</v>
      </c>
      <c r="E365" s="5" t="s">
        <v>67</v>
      </c>
      <c r="F365" s="5" t="s">
        <v>29</v>
      </c>
      <c r="G365" s="5" t="s">
        <v>178</v>
      </c>
      <c r="H365" s="5">
        <v>200</v>
      </c>
      <c r="I365" s="25">
        <v>3866</v>
      </c>
      <c r="J365" s="9">
        <v>0</v>
      </c>
      <c r="K365" s="9">
        <v>0</v>
      </c>
      <c r="L365" s="9" t="s">
        <v>90</v>
      </c>
      <c r="M365" s="15">
        <f t="shared" si="8"/>
        <v>773200</v>
      </c>
      <c r="N365" s="19">
        <v>28850</v>
      </c>
    </row>
    <row r="366" spans="1:14" x14ac:dyDescent="0.45">
      <c r="A366" s="4">
        <v>45271</v>
      </c>
      <c r="B366" s="4">
        <v>45273</v>
      </c>
      <c r="C366" s="5">
        <v>2502</v>
      </c>
      <c r="D366" s="9" t="s">
        <v>221</v>
      </c>
      <c r="E366" s="5" t="s">
        <v>67</v>
      </c>
      <c r="F366" s="5" t="s">
        <v>29</v>
      </c>
      <c r="G366" s="5" t="s">
        <v>178</v>
      </c>
      <c r="H366" s="5">
        <v>100</v>
      </c>
      <c r="I366" s="25">
        <v>5496</v>
      </c>
      <c r="J366" s="9">
        <v>0</v>
      </c>
      <c r="K366" s="9">
        <v>0</v>
      </c>
      <c r="L366" s="9" t="s">
        <v>90</v>
      </c>
      <c r="M366" s="15">
        <f t="shared" si="8"/>
        <v>549600</v>
      </c>
      <c r="N366" s="19">
        <v>10600</v>
      </c>
    </row>
    <row r="367" spans="1:14" x14ac:dyDescent="0.45">
      <c r="A367" s="4">
        <v>45271</v>
      </c>
      <c r="B367" s="4">
        <v>45273</v>
      </c>
      <c r="C367" s="5">
        <v>3397</v>
      </c>
      <c r="D367" s="9" t="s">
        <v>110</v>
      </c>
      <c r="E367" s="5" t="s">
        <v>67</v>
      </c>
      <c r="F367" s="5" t="s">
        <v>29</v>
      </c>
      <c r="G367" s="5" t="s">
        <v>178</v>
      </c>
      <c r="H367" s="5">
        <v>100</v>
      </c>
      <c r="I367" s="25">
        <v>4144</v>
      </c>
      <c r="J367" s="9">
        <v>0</v>
      </c>
      <c r="K367" s="9">
        <v>0</v>
      </c>
      <c r="L367" s="9" t="s">
        <v>90</v>
      </c>
      <c r="M367" s="15">
        <f t="shared" si="8"/>
        <v>414400</v>
      </c>
      <c r="N367" s="19">
        <v>53900</v>
      </c>
    </row>
    <row r="368" spans="1:14" x14ac:dyDescent="0.45">
      <c r="A368" s="4">
        <v>45271</v>
      </c>
      <c r="B368" s="4">
        <v>45273</v>
      </c>
      <c r="C368" s="5">
        <v>4401</v>
      </c>
      <c r="D368" s="6" t="s">
        <v>225</v>
      </c>
      <c r="E368" s="5" t="s">
        <v>67</v>
      </c>
      <c r="F368" s="5" t="s">
        <v>29</v>
      </c>
      <c r="G368" s="5" t="s">
        <v>178</v>
      </c>
      <c r="H368" s="5">
        <v>200</v>
      </c>
      <c r="I368" s="25">
        <v>2737.5</v>
      </c>
      <c r="J368" s="9">
        <v>0</v>
      </c>
      <c r="K368" s="9">
        <v>0</v>
      </c>
      <c r="L368" s="9" t="s">
        <v>90</v>
      </c>
      <c r="M368" s="15">
        <f t="shared" si="8"/>
        <v>547500</v>
      </c>
      <c r="N368" s="19">
        <v>28200</v>
      </c>
    </row>
    <row r="369" spans="1:15" x14ac:dyDescent="0.45">
      <c r="A369" s="4">
        <v>45271</v>
      </c>
      <c r="B369" s="4">
        <v>45273</v>
      </c>
      <c r="C369" s="5">
        <v>8001</v>
      </c>
      <c r="D369" s="9" t="s">
        <v>203</v>
      </c>
      <c r="E369" s="5" t="s">
        <v>67</v>
      </c>
      <c r="F369" s="5" t="s">
        <v>29</v>
      </c>
      <c r="G369" s="5" t="s">
        <v>178</v>
      </c>
      <c r="H369" s="5">
        <v>100</v>
      </c>
      <c r="I369" s="25">
        <v>5823</v>
      </c>
      <c r="J369" s="9">
        <v>0</v>
      </c>
      <c r="K369" s="9">
        <v>0</v>
      </c>
      <c r="L369" s="9" t="s">
        <v>90</v>
      </c>
      <c r="M369" s="15">
        <f t="shared" si="8"/>
        <v>582300</v>
      </c>
      <c r="N369" s="19">
        <v>2400</v>
      </c>
    </row>
    <row r="370" spans="1:15" x14ac:dyDescent="0.45">
      <c r="A370" s="4">
        <v>45271</v>
      </c>
      <c r="B370" s="4">
        <v>45273</v>
      </c>
      <c r="C370" s="5">
        <v>5401</v>
      </c>
      <c r="D370" s="9" t="s">
        <v>180</v>
      </c>
      <c r="E370" s="5" t="s">
        <v>67</v>
      </c>
      <c r="F370" s="5" t="s">
        <v>29</v>
      </c>
      <c r="G370" s="5" t="s">
        <v>178</v>
      </c>
      <c r="H370" s="5">
        <v>100</v>
      </c>
      <c r="I370" s="25">
        <v>3327</v>
      </c>
      <c r="J370" s="9">
        <v>0</v>
      </c>
      <c r="K370" s="9">
        <v>0</v>
      </c>
      <c r="L370" s="9" t="s">
        <v>90</v>
      </c>
      <c r="M370" s="15">
        <f t="shared" si="8"/>
        <v>332700</v>
      </c>
      <c r="N370" s="19">
        <v>-300</v>
      </c>
    </row>
    <row r="371" spans="1:15" x14ac:dyDescent="0.45">
      <c r="A371" s="4">
        <v>45271</v>
      </c>
      <c r="B371" s="4">
        <v>45273</v>
      </c>
      <c r="C371" s="5">
        <v>1928</v>
      </c>
      <c r="D371" s="9" t="s">
        <v>222</v>
      </c>
      <c r="E371" s="5" t="s">
        <v>67</v>
      </c>
      <c r="F371" s="5" t="s">
        <v>29</v>
      </c>
      <c r="G371" s="5" t="s">
        <v>178</v>
      </c>
      <c r="H371" s="5">
        <v>100</v>
      </c>
      <c r="I371" s="25">
        <v>3055</v>
      </c>
      <c r="J371" s="9">
        <v>0</v>
      </c>
      <c r="K371" s="9">
        <v>0</v>
      </c>
      <c r="L371" s="9" t="s">
        <v>90</v>
      </c>
      <c r="M371" s="15">
        <f t="shared" si="8"/>
        <v>305500</v>
      </c>
      <c r="N371" s="19">
        <v>7500</v>
      </c>
    </row>
    <row r="372" spans="1:15" x14ac:dyDescent="0.45">
      <c r="A372" s="4">
        <v>45272</v>
      </c>
      <c r="B372" s="4">
        <v>45274</v>
      </c>
      <c r="C372" s="5">
        <v>5186</v>
      </c>
      <c r="D372" s="9" t="s">
        <v>224</v>
      </c>
      <c r="E372" s="5" t="s">
        <v>67</v>
      </c>
      <c r="F372" s="5" t="s">
        <v>29</v>
      </c>
      <c r="G372" s="5" t="s">
        <v>178</v>
      </c>
      <c r="H372" s="5">
        <v>100</v>
      </c>
      <c r="I372" s="25">
        <v>3670</v>
      </c>
      <c r="J372" s="9">
        <v>0</v>
      </c>
      <c r="K372" s="9">
        <v>0</v>
      </c>
      <c r="L372" s="9" t="s">
        <v>90</v>
      </c>
      <c r="M372" s="15">
        <f t="shared" si="8"/>
        <v>367000</v>
      </c>
      <c r="N372" s="21">
        <v>26500</v>
      </c>
    </row>
    <row r="373" spans="1:15" x14ac:dyDescent="0.45">
      <c r="A373" s="4">
        <v>45273</v>
      </c>
      <c r="B373" s="4">
        <v>45275</v>
      </c>
      <c r="C373" s="5">
        <v>4183</v>
      </c>
      <c r="D373" s="9" t="s">
        <v>226</v>
      </c>
      <c r="E373" s="5" t="s">
        <v>68</v>
      </c>
      <c r="F373" s="5" t="s">
        <v>175</v>
      </c>
      <c r="G373" s="5" t="s">
        <v>178</v>
      </c>
      <c r="H373" s="5">
        <v>100</v>
      </c>
      <c r="I373" s="25">
        <v>4179</v>
      </c>
      <c r="J373" s="9">
        <v>0</v>
      </c>
      <c r="K373" s="9">
        <v>0</v>
      </c>
      <c r="L373" s="9" t="s">
        <v>90</v>
      </c>
      <c r="M373" s="15">
        <f t="shared" si="8"/>
        <v>417900</v>
      </c>
      <c r="N373" s="21">
        <v>42100</v>
      </c>
    </row>
    <row r="374" spans="1:15" x14ac:dyDescent="0.45">
      <c r="A374" s="4">
        <v>45278</v>
      </c>
      <c r="B374" s="4">
        <v>45280</v>
      </c>
      <c r="C374" s="5">
        <v>5108</v>
      </c>
      <c r="D374" s="9" t="s">
        <v>186</v>
      </c>
      <c r="E374" s="5" t="s">
        <v>68</v>
      </c>
      <c r="F374" s="5" t="s">
        <v>175</v>
      </c>
      <c r="G374" s="5" t="s">
        <v>178</v>
      </c>
      <c r="H374" s="5">
        <v>100</v>
      </c>
      <c r="I374" s="25">
        <v>5784</v>
      </c>
      <c r="J374" s="9">
        <v>0</v>
      </c>
      <c r="K374" s="9">
        <v>0</v>
      </c>
      <c r="L374" s="9" t="s">
        <v>90</v>
      </c>
      <c r="M374" s="15">
        <f t="shared" si="8"/>
        <v>578400</v>
      </c>
      <c r="N374" s="21">
        <v>1900</v>
      </c>
    </row>
    <row r="375" spans="1:15" x14ac:dyDescent="0.45">
      <c r="A375" s="4">
        <v>45279</v>
      </c>
      <c r="B375" s="4">
        <v>45281</v>
      </c>
      <c r="C375" s="5">
        <v>4063</v>
      </c>
      <c r="D375" s="9" t="s">
        <v>192</v>
      </c>
      <c r="E375" s="5" t="s">
        <v>68</v>
      </c>
      <c r="F375" s="5" t="s">
        <v>175</v>
      </c>
      <c r="G375" s="5" t="s">
        <v>178</v>
      </c>
      <c r="H375" s="5">
        <v>100</v>
      </c>
      <c r="I375" s="25">
        <v>5394</v>
      </c>
      <c r="J375" s="9">
        <v>0</v>
      </c>
      <c r="K375" s="9">
        <v>0</v>
      </c>
      <c r="L375" s="9" t="s">
        <v>90</v>
      </c>
      <c r="M375" s="15">
        <f t="shared" si="8"/>
        <v>539400</v>
      </c>
      <c r="N375" s="21">
        <v>60375</v>
      </c>
    </row>
    <row r="376" spans="1:15" x14ac:dyDescent="0.45">
      <c r="A376" s="4">
        <v>45279</v>
      </c>
      <c r="B376" s="4">
        <v>45281</v>
      </c>
      <c r="C376" s="5">
        <v>5108</v>
      </c>
      <c r="D376" s="9" t="s">
        <v>186</v>
      </c>
      <c r="E376" s="5" t="s">
        <v>68</v>
      </c>
      <c r="F376" s="5" t="s">
        <v>175</v>
      </c>
      <c r="G376" s="5" t="s">
        <v>176</v>
      </c>
      <c r="H376" s="5">
        <v>100</v>
      </c>
      <c r="I376" s="25">
        <v>5880</v>
      </c>
      <c r="J376" s="9">
        <v>0</v>
      </c>
      <c r="K376" s="9">
        <v>0</v>
      </c>
      <c r="L376" s="9" t="s">
        <v>177</v>
      </c>
      <c r="M376" s="15">
        <f t="shared" si="8"/>
        <v>588000</v>
      </c>
      <c r="N376" s="19">
        <v>0</v>
      </c>
    </row>
    <row r="377" spans="1:15" x14ac:dyDescent="0.45">
      <c r="A377" s="4">
        <v>45279</v>
      </c>
      <c r="B377" s="4">
        <v>45281</v>
      </c>
      <c r="C377" s="5">
        <v>8766</v>
      </c>
      <c r="D377" s="9" t="s">
        <v>44</v>
      </c>
      <c r="E377" s="5" t="s">
        <v>68</v>
      </c>
      <c r="F377" s="5" t="s">
        <v>175</v>
      </c>
      <c r="G377" s="5" t="s">
        <v>176</v>
      </c>
      <c r="H377" s="5">
        <v>100</v>
      </c>
      <c r="I377" s="25">
        <v>3473</v>
      </c>
      <c r="J377" s="9">
        <v>0</v>
      </c>
      <c r="K377" s="9">
        <v>0</v>
      </c>
      <c r="L377" s="9" t="s">
        <v>177</v>
      </c>
      <c r="M377" s="15">
        <f t="shared" si="8"/>
        <v>347300</v>
      </c>
      <c r="N377" s="19">
        <v>0</v>
      </c>
    </row>
    <row r="378" spans="1:15" x14ac:dyDescent="0.45">
      <c r="A378" s="4">
        <v>45280</v>
      </c>
      <c r="B378" s="4">
        <v>45282</v>
      </c>
      <c r="C378" s="5">
        <v>4063</v>
      </c>
      <c r="D378" s="9" t="s">
        <v>192</v>
      </c>
      <c r="E378" s="5" t="s">
        <v>68</v>
      </c>
      <c r="F378" s="5" t="s">
        <v>175</v>
      </c>
      <c r="G378" s="5" t="s">
        <v>178</v>
      </c>
      <c r="H378" s="5">
        <v>100</v>
      </c>
      <c r="I378" s="25">
        <v>5665</v>
      </c>
      <c r="J378" s="9">
        <v>0</v>
      </c>
      <c r="K378" s="9">
        <v>0</v>
      </c>
      <c r="L378" s="9" t="s">
        <v>90</v>
      </c>
      <c r="M378" s="15">
        <f t="shared" si="8"/>
        <v>566500</v>
      </c>
      <c r="N378" s="19">
        <v>87400</v>
      </c>
    </row>
    <row r="379" spans="1:15" x14ac:dyDescent="0.45">
      <c r="A379" s="4">
        <v>45281</v>
      </c>
      <c r="B379" s="4">
        <v>45285</v>
      </c>
      <c r="C379" s="5">
        <v>4063</v>
      </c>
      <c r="D379" s="9" t="s">
        <v>192</v>
      </c>
      <c r="E379" s="5" t="s">
        <v>68</v>
      </c>
      <c r="F379" s="5" t="s">
        <v>175</v>
      </c>
      <c r="G379" s="5" t="s">
        <v>178</v>
      </c>
      <c r="H379" s="5">
        <v>100</v>
      </c>
      <c r="I379" s="25">
        <v>5607</v>
      </c>
      <c r="J379" s="9">
        <v>0</v>
      </c>
      <c r="K379" s="9">
        <v>0</v>
      </c>
      <c r="L379" s="9" t="s">
        <v>90</v>
      </c>
      <c r="M379" s="15">
        <f t="shared" si="8"/>
        <v>560700</v>
      </c>
      <c r="N379" s="19">
        <v>81600</v>
      </c>
    </row>
    <row r="380" spans="1:15" x14ac:dyDescent="0.45">
      <c r="A380" s="4">
        <v>45282</v>
      </c>
      <c r="B380" s="4">
        <v>45286</v>
      </c>
      <c r="C380" s="5">
        <v>7974</v>
      </c>
      <c r="D380" s="9" t="s">
        <v>174</v>
      </c>
      <c r="E380" s="5" t="s">
        <v>68</v>
      </c>
      <c r="F380" s="5" t="s">
        <v>175</v>
      </c>
      <c r="G380" s="5" t="s">
        <v>176</v>
      </c>
      <c r="H380" s="5">
        <v>100</v>
      </c>
      <c r="I380" s="25">
        <v>6936</v>
      </c>
      <c r="J380" s="9">
        <v>0</v>
      </c>
      <c r="K380" s="9">
        <v>0</v>
      </c>
      <c r="L380" s="9" t="s">
        <v>177</v>
      </c>
      <c r="M380" s="15">
        <f t="shared" si="8"/>
        <v>693600</v>
      </c>
      <c r="N380" s="21">
        <v>0</v>
      </c>
    </row>
    <row r="381" spans="1:15" x14ac:dyDescent="0.45">
      <c r="A381" s="4">
        <v>45287</v>
      </c>
      <c r="B381" s="4">
        <v>45289</v>
      </c>
      <c r="C381" s="5">
        <v>7947</v>
      </c>
      <c r="D381" s="9" t="s">
        <v>127</v>
      </c>
      <c r="E381" s="5" t="s">
        <v>68</v>
      </c>
      <c r="F381" s="5" t="s">
        <v>175</v>
      </c>
      <c r="G381" s="5" t="s">
        <v>178</v>
      </c>
      <c r="H381" s="5">
        <v>200</v>
      </c>
      <c r="I381" s="25">
        <v>2935</v>
      </c>
      <c r="J381" s="9">
        <v>0</v>
      </c>
      <c r="K381" s="9">
        <v>0</v>
      </c>
      <c r="L381" s="9" t="s">
        <v>90</v>
      </c>
      <c r="M381" s="15">
        <f t="shared" si="8"/>
        <v>587000</v>
      </c>
      <c r="N381" s="19">
        <v>-169600</v>
      </c>
    </row>
    <row r="382" spans="1:15" x14ac:dyDescent="0.45">
      <c r="A382" s="4">
        <v>45287</v>
      </c>
      <c r="B382" s="4">
        <v>45295</v>
      </c>
      <c r="C382" s="5">
        <v>8058</v>
      </c>
      <c r="D382" s="9" t="s">
        <v>72</v>
      </c>
      <c r="E382" s="5" t="s">
        <v>67</v>
      </c>
      <c r="F382" s="5"/>
      <c r="G382" s="5" t="s">
        <v>231</v>
      </c>
      <c r="H382" s="5">
        <v>200</v>
      </c>
      <c r="I382" s="25">
        <v>2326.66</v>
      </c>
      <c r="J382" s="9">
        <v>0</v>
      </c>
      <c r="K382" s="9">
        <v>0</v>
      </c>
      <c r="L382" s="9" t="s">
        <v>177</v>
      </c>
      <c r="M382" s="15">
        <v>0</v>
      </c>
      <c r="N382" s="21">
        <v>0</v>
      </c>
    </row>
    <row r="383" spans="1:15" x14ac:dyDescent="0.45">
      <c r="A383" s="4">
        <v>45289</v>
      </c>
      <c r="B383" s="4">
        <v>45296</v>
      </c>
      <c r="C383" s="5">
        <v>5108</v>
      </c>
      <c r="D383" s="9" t="s">
        <v>186</v>
      </c>
      <c r="E383" s="5" t="s">
        <v>68</v>
      </c>
      <c r="F383" s="5" t="s">
        <v>175</v>
      </c>
      <c r="G383" s="5" t="s">
        <v>176</v>
      </c>
      <c r="H383" s="5">
        <v>100</v>
      </c>
      <c r="I383" s="25">
        <v>5824</v>
      </c>
      <c r="J383" s="9">
        <v>0</v>
      </c>
      <c r="K383" s="9">
        <v>0</v>
      </c>
      <c r="L383" s="9" t="s">
        <v>177</v>
      </c>
      <c r="M383" s="15">
        <f t="shared" ref="M383:M414" si="9">IF(G383="買付",H383*I383+SUM(J383:K383),H383*I383-SUM(J383:K383))</f>
        <v>582400</v>
      </c>
      <c r="N383" s="21">
        <v>0</v>
      </c>
    </row>
    <row r="384" spans="1:15" x14ac:dyDescent="0.45">
      <c r="A384" s="4">
        <v>45295</v>
      </c>
      <c r="B384" s="4">
        <v>45300</v>
      </c>
      <c r="C384" s="5">
        <v>9602</v>
      </c>
      <c r="D384" s="9" t="s">
        <v>131</v>
      </c>
      <c r="E384" s="5" t="s">
        <v>68</v>
      </c>
      <c r="F384" s="5" t="s">
        <v>175</v>
      </c>
      <c r="G384" s="5" t="s">
        <v>176</v>
      </c>
      <c r="H384" s="5">
        <v>100</v>
      </c>
      <c r="I384" s="25">
        <v>4861</v>
      </c>
      <c r="J384" s="9">
        <v>0</v>
      </c>
      <c r="K384" s="9">
        <v>0</v>
      </c>
      <c r="L384" s="9" t="s">
        <v>177</v>
      </c>
      <c r="M384" s="15">
        <f t="shared" si="9"/>
        <v>486100</v>
      </c>
      <c r="N384" s="21">
        <v>0</v>
      </c>
      <c r="O384" s="41"/>
    </row>
    <row r="385" spans="1:14" x14ac:dyDescent="0.45">
      <c r="A385" s="4">
        <v>45296</v>
      </c>
      <c r="B385" s="4">
        <v>45301</v>
      </c>
      <c r="C385" s="5">
        <v>9433</v>
      </c>
      <c r="D385" s="9" t="s">
        <v>71</v>
      </c>
      <c r="E385" s="5" t="s">
        <v>68</v>
      </c>
      <c r="F385" s="5" t="s">
        <v>175</v>
      </c>
      <c r="G385" s="5" t="s">
        <v>178</v>
      </c>
      <c r="H385" s="5">
        <v>100</v>
      </c>
      <c r="I385" s="25">
        <v>4616</v>
      </c>
      <c r="J385" s="9">
        <v>0</v>
      </c>
      <c r="K385" s="9">
        <v>0</v>
      </c>
      <c r="L385" s="9" t="s">
        <v>90</v>
      </c>
      <c r="M385" s="15">
        <f t="shared" si="9"/>
        <v>461600</v>
      </c>
      <c r="N385" s="21">
        <v>12600</v>
      </c>
    </row>
    <row r="386" spans="1:14" x14ac:dyDescent="0.45">
      <c r="A386" s="4">
        <v>45296</v>
      </c>
      <c r="B386" s="4">
        <v>45301</v>
      </c>
      <c r="C386" s="5">
        <v>7974</v>
      </c>
      <c r="D386" s="9" t="s">
        <v>174</v>
      </c>
      <c r="E386" s="5" t="s">
        <v>68</v>
      </c>
      <c r="F386" s="5" t="s">
        <v>175</v>
      </c>
      <c r="G386" s="5" t="s">
        <v>178</v>
      </c>
      <c r="H386" s="5">
        <v>100</v>
      </c>
      <c r="I386" s="25">
        <v>7256</v>
      </c>
      <c r="J386" s="9">
        <v>0</v>
      </c>
      <c r="K386" s="9">
        <v>0</v>
      </c>
      <c r="L386" s="9" t="s">
        <v>90</v>
      </c>
      <c r="M386" s="15">
        <f t="shared" si="9"/>
        <v>725600</v>
      </c>
      <c r="N386" s="21">
        <v>32000</v>
      </c>
    </row>
    <row r="387" spans="1:14" x14ac:dyDescent="0.45">
      <c r="A387" s="4">
        <v>45296</v>
      </c>
      <c r="B387" s="4">
        <v>45301</v>
      </c>
      <c r="C387" s="5">
        <v>9602</v>
      </c>
      <c r="D387" s="9" t="s">
        <v>131</v>
      </c>
      <c r="E387" s="5" t="s">
        <v>68</v>
      </c>
      <c r="F387" s="5" t="s">
        <v>175</v>
      </c>
      <c r="G387" s="5" t="s">
        <v>178</v>
      </c>
      <c r="H387" s="5">
        <v>100</v>
      </c>
      <c r="I387" s="25">
        <v>4876</v>
      </c>
      <c r="J387" s="9">
        <v>0</v>
      </c>
      <c r="K387" s="9">
        <v>0</v>
      </c>
      <c r="L387" s="9" t="s">
        <v>90</v>
      </c>
      <c r="M387" s="15">
        <f t="shared" si="9"/>
        <v>487600</v>
      </c>
      <c r="N387" s="21">
        <v>1500</v>
      </c>
    </row>
    <row r="388" spans="1:14" x14ac:dyDescent="0.45">
      <c r="A388" s="4">
        <v>45300</v>
      </c>
      <c r="B388" s="4">
        <v>45302</v>
      </c>
      <c r="C388" s="5">
        <v>4041</v>
      </c>
      <c r="D388" s="9" t="s">
        <v>181</v>
      </c>
      <c r="E388" s="5" t="s">
        <v>67</v>
      </c>
      <c r="F388" s="5" t="s">
        <v>29</v>
      </c>
      <c r="G388" s="5" t="s">
        <v>178</v>
      </c>
      <c r="H388" s="5">
        <v>100</v>
      </c>
      <c r="I388" s="25">
        <v>5622</v>
      </c>
      <c r="J388" s="9">
        <v>0</v>
      </c>
      <c r="K388" s="9">
        <v>0</v>
      </c>
      <c r="L388" s="9" t="s">
        <v>90</v>
      </c>
      <c r="M388" s="15">
        <f t="shared" si="9"/>
        <v>562200</v>
      </c>
      <c r="N388" s="21">
        <v>17200</v>
      </c>
    </row>
    <row r="389" spans="1:14" x14ac:dyDescent="0.45">
      <c r="A389" s="4">
        <v>45301</v>
      </c>
      <c r="B389" s="4">
        <v>45303</v>
      </c>
      <c r="C389" s="5">
        <v>5108</v>
      </c>
      <c r="D389" s="9" t="s">
        <v>186</v>
      </c>
      <c r="E389" s="5" t="s">
        <v>67</v>
      </c>
      <c r="F389" s="5" t="s">
        <v>29</v>
      </c>
      <c r="G389" s="5" t="s">
        <v>178</v>
      </c>
      <c r="H389" s="5">
        <v>200</v>
      </c>
      <c r="I389" s="25">
        <v>5980</v>
      </c>
      <c r="J389" s="9">
        <v>0</v>
      </c>
      <c r="K389" s="9">
        <v>0</v>
      </c>
      <c r="L389" s="9" t="s">
        <v>90</v>
      </c>
      <c r="M389" s="15">
        <f t="shared" si="9"/>
        <v>1196000</v>
      </c>
      <c r="N389" s="21">
        <v>25600</v>
      </c>
    </row>
    <row r="390" spans="1:14" x14ac:dyDescent="0.45">
      <c r="A390" s="4">
        <v>45301</v>
      </c>
      <c r="B390" s="4">
        <v>45303</v>
      </c>
      <c r="C390" s="5">
        <v>8012</v>
      </c>
      <c r="D390" s="9" t="s">
        <v>227</v>
      </c>
      <c r="E390" s="5" t="s">
        <v>67</v>
      </c>
      <c r="F390" s="5" t="s">
        <v>29</v>
      </c>
      <c r="G390" s="5" t="s">
        <v>178</v>
      </c>
      <c r="H390" s="5">
        <v>100</v>
      </c>
      <c r="I390" s="25">
        <v>2337</v>
      </c>
      <c r="J390" s="9">
        <v>0</v>
      </c>
      <c r="K390" s="9">
        <v>0</v>
      </c>
      <c r="L390" s="9" t="s">
        <v>90</v>
      </c>
      <c r="M390" s="15">
        <f t="shared" si="9"/>
        <v>233700</v>
      </c>
      <c r="N390" s="21">
        <v>3800</v>
      </c>
    </row>
    <row r="391" spans="1:14" x14ac:dyDescent="0.45">
      <c r="A391" s="4">
        <v>45301</v>
      </c>
      <c r="B391" s="4">
        <v>45303</v>
      </c>
      <c r="C391" s="5">
        <v>8031</v>
      </c>
      <c r="D391" s="9" t="s">
        <v>195</v>
      </c>
      <c r="E391" s="5" t="s">
        <v>67</v>
      </c>
      <c r="F391" s="5" t="s">
        <v>29</v>
      </c>
      <c r="G391" s="5" t="s">
        <v>178</v>
      </c>
      <c r="H391" s="5">
        <v>100</v>
      </c>
      <c r="I391" s="25">
        <v>5492</v>
      </c>
      <c r="J391" s="9">
        <v>0</v>
      </c>
      <c r="K391" s="9">
        <v>0</v>
      </c>
      <c r="L391" s="9" t="s">
        <v>90</v>
      </c>
      <c r="M391" s="15">
        <f t="shared" si="9"/>
        <v>549200</v>
      </c>
      <c r="N391" s="21">
        <v>6910</v>
      </c>
    </row>
    <row r="392" spans="1:14" x14ac:dyDescent="0.45">
      <c r="A392" s="4">
        <v>45301</v>
      </c>
      <c r="B392" s="4">
        <v>45303</v>
      </c>
      <c r="C392" s="5">
        <v>8058</v>
      </c>
      <c r="D392" s="9" t="s">
        <v>72</v>
      </c>
      <c r="E392" s="5" t="s">
        <v>67</v>
      </c>
      <c r="F392" s="5" t="s">
        <v>29</v>
      </c>
      <c r="G392" s="5" t="s">
        <v>178</v>
      </c>
      <c r="H392" s="5">
        <v>200</v>
      </c>
      <c r="I392" s="25">
        <v>2332.5</v>
      </c>
      <c r="J392" s="9">
        <v>0</v>
      </c>
      <c r="K392" s="9">
        <v>0</v>
      </c>
      <c r="L392" s="9" t="s">
        <v>90</v>
      </c>
      <c r="M392" s="15">
        <f t="shared" si="9"/>
        <v>466500</v>
      </c>
      <c r="N392" s="21">
        <v>1100</v>
      </c>
    </row>
    <row r="393" spans="1:14" x14ac:dyDescent="0.45">
      <c r="A393" s="4">
        <v>45301</v>
      </c>
      <c r="B393" s="4">
        <v>45303</v>
      </c>
      <c r="C393" s="5">
        <v>8058</v>
      </c>
      <c r="D393" s="9" t="s">
        <v>72</v>
      </c>
      <c r="E393" s="5" t="s">
        <v>67</v>
      </c>
      <c r="F393" s="5" t="s">
        <v>29</v>
      </c>
      <c r="G393" s="5" t="s">
        <v>178</v>
      </c>
      <c r="H393" s="5">
        <v>100</v>
      </c>
      <c r="I393" s="25">
        <v>2332.5</v>
      </c>
      <c r="J393" s="9">
        <v>0</v>
      </c>
      <c r="K393" s="9">
        <v>0</v>
      </c>
      <c r="L393" s="9" t="s">
        <v>90</v>
      </c>
      <c r="M393" s="15">
        <f t="shared" si="9"/>
        <v>233250</v>
      </c>
      <c r="N393" s="21">
        <v>550</v>
      </c>
    </row>
    <row r="394" spans="1:14" x14ac:dyDescent="0.45">
      <c r="A394" s="4">
        <v>45301</v>
      </c>
      <c r="B394" s="4">
        <v>45303</v>
      </c>
      <c r="C394" s="5">
        <v>8584</v>
      </c>
      <c r="D394" s="9" t="s">
        <v>184</v>
      </c>
      <c r="E394" s="5" t="s">
        <v>67</v>
      </c>
      <c r="F394" s="5" t="s">
        <v>29</v>
      </c>
      <c r="G394" s="5" t="s">
        <v>178</v>
      </c>
      <c r="H394" s="5">
        <v>100</v>
      </c>
      <c r="I394" s="25">
        <v>5390</v>
      </c>
      <c r="J394" s="9">
        <v>0</v>
      </c>
      <c r="K394" s="9">
        <v>0</v>
      </c>
      <c r="L394" s="9" t="s">
        <v>90</v>
      </c>
      <c r="M394" s="15">
        <f t="shared" si="9"/>
        <v>539000</v>
      </c>
      <c r="N394" s="21">
        <v>15000</v>
      </c>
    </row>
    <row r="395" spans="1:14" x14ac:dyDescent="0.45">
      <c r="A395" s="4">
        <v>45302</v>
      </c>
      <c r="B395" s="4">
        <v>45306</v>
      </c>
      <c r="C395" s="5">
        <v>8766</v>
      </c>
      <c r="D395" s="9" t="s">
        <v>44</v>
      </c>
      <c r="E395" s="5" t="s">
        <v>68</v>
      </c>
      <c r="F395" s="5" t="s">
        <v>175</v>
      </c>
      <c r="G395" s="5" t="s">
        <v>178</v>
      </c>
      <c r="H395" s="5">
        <v>100</v>
      </c>
      <c r="I395" s="25">
        <v>3693</v>
      </c>
      <c r="J395" s="9">
        <v>0</v>
      </c>
      <c r="K395" s="9">
        <v>0</v>
      </c>
      <c r="L395" s="9" t="s">
        <v>90</v>
      </c>
      <c r="M395" s="15">
        <f t="shared" si="9"/>
        <v>369300</v>
      </c>
      <c r="N395" s="21">
        <v>22000</v>
      </c>
    </row>
    <row r="396" spans="1:14" x14ac:dyDescent="0.45">
      <c r="A396" s="4">
        <v>45306</v>
      </c>
      <c r="B396" s="4">
        <v>45308</v>
      </c>
      <c r="C396" s="5">
        <v>4063</v>
      </c>
      <c r="D396" s="9" t="s">
        <v>100</v>
      </c>
      <c r="E396" s="5" t="s">
        <v>67</v>
      </c>
      <c r="F396" s="5" t="s">
        <v>29</v>
      </c>
      <c r="G396" s="5" t="s">
        <v>30</v>
      </c>
      <c r="H396" s="5">
        <v>100</v>
      </c>
      <c r="I396" s="25">
        <v>5890</v>
      </c>
      <c r="J396" s="9">
        <v>0</v>
      </c>
      <c r="K396" s="9">
        <v>0</v>
      </c>
      <c r="L396" s="9" t="s">
        <v>31</v>
      </c>
      <c r="M396" s="15">
        <f t="shared" si="9"/>
        <v>589000</v>
      </c>
      <c r="N396" s="19">
        <v>0</v>
      </c>
    </row>
    <row r="397" spans="1:14" x14ac:dyDescent="0.45">
      <c r="A397" s="4">
        <v>45307</v>
      </c>
      <c r="B397" s="4">
        <v>45309</v>
      </c>
      <c r="C397" s="5">
        <v>4063</v>
      </c>
      <c r="D397" s="9" t="s">
        <v>100</v>
      </c>
      <c r="E397" s="5" t="s">
        <v>68</v>
      </c>
      <c r="F397" s="5" t="s">
        <v>175</v>
      </c>
      <c r="G397" s="5" t="s">
        <v>178</v>
      </c>
      <c r="H397" s="5">
        <v>100</v>
      </c>
      <c r="I397" s="25">
        <v>5908</v>
      </c>
      <c r="J397" s="9">
        <v>0</v>
      </c>
      <c r="K397" s="9">
        <v>0</v>
      </c>
      <c r="L397" s="9" t="s">
        <v>90</v>
      </c>
      <c r="M397" s="15">
        <f t="shared" si="9"/>
        <v>590800</v>
      </c>
      <c r="N397" s="21">
        <v>1800</v>
      </c>
    </row>
    <row r="398" spans="1:14" x14ac:dyDescent="0.45">
      <c r="A398" s="4">
        <v>45313</v>
      </c>
      <c r="B398" s="4">
        <v>45315</v>
      </c>
      <c r="C398" s="5">
        <v>1911</v>
      </c>
      <c r="D398" s="9" t="s">
        <v>204</v>
      </c>
      <c r="E398" s="5" t="s">
        <v>67</v>
      </c>
      <c r="F398" s="5" t="s">
        <v>29</v>
      </c>
      <c r="G398" s="5" t="s">
        <v>30</v>
      </c>
      <c r="H398" s="5">
        <v>100</v>
      </c>
      <c r="I398" s="25">
        <v>4555</v>
      </c>
      <c r="J398" s="9">
        <v>0</v>
      </c>
      <c r="K398" s="9">
        <v>0</v>
      </c>
      <c r="L398" s="9" t="s">
        <v>31</v>
      </c>
      <c r="M398" s="15">
        <f t="shared" si="9"/>
        <v>455500</v>
      </c>
      <c r="N398" s="21">
        <v>0</v>
      </c>
    </row>
    <row r="399" spans="1:14" x14ac:dyDescent="0.45">
      <c r="A399" s="4">
        <v>45313</v>
      </c>
      <c r="B399" s="4">
        <v>45315</v>
      </c>
      <c r="C399" s="5">
        <v>4063</v>
      </c>
      <c r="D399" s="9" t="s">
        <v>100</v>
      </c>
      <c r="E399" s="5" t="s">
        <v>67</v>
      </c>
      <c r="F399" s="5" t="s">
        <v>29</v>
      </c>
      <c r="G399" s="5" t="s">
        <v>30</v>
      </c>
      <c r="H399" s="5">
        <v>100</v>
      </c>
      <c r="I399" s="25">
        <v>5850</v>
      </c>
      <c r="J399" s="9">
        <v>0</v>
      </c>
      <c r="K399" s="9">
        <v>0</v>
      </c>
      <c r="L399" s="9" t="s">
        <v>31</v>
      </c>
      <c r="M399" s="15">
        <f t="shared" si="9"/>
        <v>585000</v>
      </c>
      <c r="N399" s="21">
        <v>0</v>
      </c>
    </row>
    <row r="400" spans="1:14" x14ac:dyDescent="0.45">
      <c r="A400" s="4">
        <v>45313</v>
      </c>
      <c r="B400" s="4">
        <v>45315</v>
      </c>
      <c r="C400" s="5">
        <v>5186</v>
      </c>
      <c r="D400" s="9" t="s">
        <v>224</v>
      </c>
      <c r="E400" s="5" t="s">
        <v>67</v>
      </c>
      <c r="F400" s="5" t="s">
        <v>29</v>
      </c>
      <c r="G400" s="5" t="s">
        <v>30</v>
      </c>
      <c r="H400" s="5">
        <v>100</v>
      </c>
      <c r="I400" s="25">
        <v>3820</v>
      </c>
      <c r="J400" s="9">
        <v>0</v>
      </c>
      <c r="K400" s="9">
        <v>0</v>
      </c>
      <c r="L400" s="9" t="s">
        <v>31</v>
      </c>
      <c r="M400" s="15">
        <f t="shared" si="9"/>
        <v>382000</v>
      </c>
      <c r="N400" s="21">
        <v>0</v>
      </c>
    </row>
    <row r="401" spans="1:14" x14ac:dyDescent="0.45">
      <c r="A401" s="4">
        <v>45313</v>
      </c>
      <c r="B401" s="4">
        <v>45315</v>
      </c>
      <c r="C401" s="5">
        <v>6890</v>
      </c>
      <c r="D401" s="9" t="s">
        <v>187</v>
      </c>
      <c r="E401" s="5" t="s">
        <v>67</v>
      </c>
      <c r="F401" s="5" t="s">
        <v>29</v>
      </c>
      <c r="G401" s="5" t="s">
        <v>30</v>
      </c>
      <c r="H401" s="5">
        <v>100</v>
      </c>
      <c r="I401" s="25">
        <v>2970</v>
      </c>
      <c r="J401" s="9">
        <v>0</v>
      </c>
      <c r="K401" s="9">
        <v>0</v>
      </c>
      <c r="L401" s="9" t="s">
        <v>31</v>
      </c>
      <c r="M401" s="15">
        <f t="shared" si="9"/>
        <v>297000</v>
      </c>
      <c r="N401" s="21">
        <v>0</v>
      </c>
    </row>
    <row r="402" spans="1:14" x14ac:dyDescent="0.45">
      <c r="A402" s="4">
        <v>45313</v>
      </c>
      <c r="B402" s="4">
        <v>45315</v>
      </c>
      <c r="C402" s="5">
        <v>9101</v>
      </c>
      <c r="D402" s="9" t="s">
        <v>94</v>
      </c>
      <c r="E402" s="5" t="s">
        <v>67</v>
      </c>
      <c r="F402" s="5" t="s">
        <v>29</v>
      </c>
      <c r="G402" s="5" t="s">
        <v>30</v>
      </c>
      <c r="H402" s="5">
        <v>100</v>
      </c>
      <c r="I402" s="25">
        <v>4987</v>
      </c>
      <c r="J402" s="9">
        <v>0</v>
      </c>
      <c r="K402" s="9">
        <v>0</v>
      </c>
      <c r="L402" s="9" t="s">
        <v>31</v>
      </c>
      <c r="M402" s="15">
        <f t="shared" si="9"/>
        <v>498700</v>
      </c>
      <c r="N402" s="21">
        <v>0</v>
      </c>
    </row>
    <row r="403" spans="1:14" x14ac:dyDescent="0.45">
      <c r="A403" s="4">
        <v>45314</v>
      </c>
      <c r="B403" s="4">
        <v>45316</v>
      </c>
      <c r="C403" s="5">
        <v>7705</v>
      </c>
      <c r="D403" s="9" t="s">
        <v>236</v>
      </c>
      <c r="E403" s="5" t="s">
        <v>67</v>
      </c>
      <c r="F403" s="5" t="s">
        <v>29</v>
      </c>
      <c r="G403" s="5" t="s">
        <v>30</v>
      </c>
      <c r="H403" s="5">
        <v>100</v>
      </c>
      <c r="I403" s="25">
        <v>2702</v>
      </c>
      <c r="J403" s="9">
        <v>0</v>
      </c>
      <c r="K403" s="9">
        <v>0</v>
      </c>
      <c r="L403" s="9" t="s">
        <v>31</v>
      </c>
      <c r="M403" s="15">
        <f t="shared" si="9"/>
        <v>270200</v>
      </c>
      <c r="N403" s="21">
        <v>0</v>
      </c>
    </row>
    <row r="404" spans="1:14" x14ac:dyDescent="0.45">
      <c r="A404" s="4">
        <v>45314</v>
      </c>
      <c r="B404" s="4">
        <v>45316</v>
      </c>
      <c r="C404" s="5">
        <v>8316</v>
      </c>
      <c r="D404" s="9" t="s">
        <v>228</v>
      </c>
      <c r="E404" s="5" t="s">
        <v>67</v>
      </c>
      <c r="F404" s="5" t="s">
        <v>29</v>
      </c>
      <c r="G404" s="5" t="s">
        <v>178</v>
      </c>
      <c r="H404" s="5">
        <v>100</v>
      </c>
      <c r="I404" s="25">
        <v>7360</v>
      </c>
      <c r="J404" s="9">
        <v>0</v>
      </c>
      <c r="K404" s="9">
        <v>0</v>
      </c>
      <c r="L404" s="9" t="s">
        <v>90</v>
      </c>
      <c r="M404" s="15">
        <f t="shared" si="9"/>
        <v>736000</v>
      </c>
      <c r="N404" s="21">
        <v>300</v>
      </c>
    </row>
    <row r="405" spans="1:14" x14ac:dyDescent="0.45">
      <c r="A405" s="4">
        <v>45314</v>
      </c>
      <c r="B405" s="4">
        <v>45316</v>
      </c>
      <c r="C405" s="5">
        <v>9101</v>
      </c>
      <c r="D405" s="9" t="s">
        <v>94</v>
      </c>
      <c r="E405" s="5" t="s">
        <v>67</v>
      </c>
      <c r="F405" s="5" t="s">
        <v>29</v>
      </c>
      <c r="G405" s="5" t="s">
        <v>178</v>
      </c>
      <c r="H405" s="5">
        <v>100</v>
      </c>
      <c r="I405" s="25">
        <v>4988</v>
      </c>
      <c r="J405" s="9">
        <v>0</v>
      </c>
      <c r="K405" s="9">
        <v>0</v>
      </c>
      <c r="L405" s="9" t="s">
        <v>90</v>
      </c>
      <c r="M405" s="15">
        <f t="shared" si="9"/>
        <v>498800</v>
      </c>
      <c r="N405" s="21">
        <v>100</v>
      </c>
    </row>
    <row r="406" spans="1:14" x14ac:dyDescent="0.45">
      <c r="A406" s="4">
        <v>45315</v>
      </c>
      <c r="B406" s="4">
        <v>45317</v>
      </c>
      <c r="C406" s="5">
        <v>1911</v>
      </c>
      <c r="D406" s="9" t="s">
        <v>204</v>
      </c>
      <c r="E406" s="5" t="s">
        <v>67</v>
      </c>
      <c r="F406" s="5" t="s">
        <v>29</v>
      </c>
      <c r="G406" s="5" t="s">
        <v>30</v>
      </c>
      <c r="H406" s="5">
        <v>100</v>
      </c>
      <c r="I406" s="25">
        <v>4394</v>
      </c>
      <c r="J406" s="9">
        <v>0</v>
      </c>
      <c r="K406" s="9">
        <v>0</v>
      </c>
      <c r="L406" s="9" t="s">
        <v>31</v>
      </c>
      <c r="M406" s="15">
        <f t="shared" si="9"/>
        <v>439400</v>
      </c>
      <c r="N406" s="21">
        <v>0</v>
      </c>
    </row>
    <row r="407" spans="1:14" x14ac:dyDescent="0.45">
      <c r="A407" s="4">
        <v>45320</v>
      </c>
      <c r="B407" s="4">
        <v>45322</v>
      </c>
      <c r="C407" s="5">
        <v>2163</v>
      </c>
      <c r="D407" s="9" t="s">
        <v>238</v>
      </c>
      <c r="E407" s="5" t="s">
        <v>67</v>
      </c>
      <c r="F407" s="5" t="s">
        <v>29</v>
      </c>
      <c r="G407" s="5" t="s">
        <v>30</v>
      </c>
      <c r="H407" s="5">
        <v>100</v>
      </c>
      <c r="I407" s="25">
        <v>2261.8000000000002</v>
      </c>
      <c r="J407" s="9">
        <v>0</v>
      </c>
      <c r="K407" s="9">
        <v>0</v>
      </c>
      <c r="L407" s="9" t="s">
        <v>177</v>
      </c>
      <c r="M407" s="15">
        <f t="shared" si="9"/>
        <v>226180.00000000003</v>
      </c>
      <c r="N407" s="21">
        <v>0</v>
      </c>
    </row>
    <row r="408" spans="1:14" x14ac:dyDescent="0.45">
      <c r="A408" s="4">
        <v>45322</v>
      </c>
      <c r="B408" s="4">
        <v>45324</v>
      </c>
      <c r="C408" s="5">
        <v>6526</v>
      </c>
      <c r="D408" s="9" t="s">
        <v>239</v>
      </c>
      <c r="E408" s="5" t="s">
        <v>67</v>
      </c>
      <c r="F408" s="5" t="s">
        <v>29</v>
      </c>
      <c r="G408" s="5" t="s">
        <v>30</v>
      </c>
      <c r="H408" s="5">
        <v>100</v>
      </c>
      <c r="I408" s="25">
        <v>3380</v>
      </c>
      <c r="J408" s="9">
        <v>0</v>
      </c>
      <c r="K408" s="9">
        <v>0</v>
      </c>
      <c r="L408" s="9" t="s">
        <v>177</v>
      </c>
      <c r="M408" s="15">
        <f t="shared" si="9"/>
        <v>338000</v>
      </c>
      <c r="N408" s="21">
        <v>0</v>
      </c>
    </row>
    <row r="409" spans="1:14" x14ac:dyDescent="0.45">
      <c r="A409" s="4">
        <v>45323</v>
      </c>
      <c r="B409" s="4">
        <v>45327</v>
      </c>
      <c r="C409" s="5">
        <v>5108</v>
      </c>
      <c r="D409" s="9" t="s">
        <v>186</v>
      </c>
      <c r="E409" s="5" t="s">
        <v>67</v>
      </c>
      <c r="F409" s="5" t="s">
        <v>29</v>
      </c>
      <c r="G409" s="5" t="s">
        <v>30</v>
      </c>
      <c r="H409" s="5">
        <v>100</v>
      </c>
      <c r="I409" s="25">
        <v>6348</v>
      </c>
      <c r="J409" s="9">
        <v>0</v>
      </c>
      <c r="K409" s="9">
        <v>0</v>
      </c>
      <c r="L409" s="9" t="s">
        <v>177</v>
      </c>
      <c r="M409" s="15">
        <f t="shared" si="9"/>
        <v>634800</v>
      </c>
      <c r="N409" s="21">
        <v>0</v>
      </c>
    </row>
    <row r="410" spans="1:14" x14ac:dyDescent="0.45">
      <c r="A410" s="4">
        <v>45324</v>
      </c>
      <c r="B410" s="4">
        <v>45328</v>
      </c>
      <c r="C410" s="5">
        <v>3397</v>
      </c>
      <c r="D410" s="9" t="s">
        <v>110</v>
      </c>
      <c r="E410" s="5" t="s">
        <v>67</v>
      </c>
      <c r="F410" s="5" t="s">
        <v>29</v>
      </c>
      <c r="G410" s="5" t="s">
        <v>30</v>
      </c>
      <c r="H410" s="5">
        <v>100</v>
      </c>
      <c r="I410" s="25">
        <v>4535</v>
      </c>
      <c r="J410" s="9">
        <v>0</v>
      </c>
      <c r="K410" s="9">
        <v>0</v>
      </c>
      <c r="L410" s="9" t="s">
        <v>177</v>
      </c>
      <c r="M410" s="15">
        <f t="shared" si="9"/>
        <v>453500</v>
      </c>
      <c r="N410" s="19">
        <v>0</v>
      </c>
    </row>
    <row r="411" spans="1:14" x14ac:dyDescent="0.45">
      <c r="A411" s="4">
        <v>45324</v>
      </c>
      <c r="B411" s="4">
        <v>45328</v>
      </c>
      <c r="C411" s="5">
        <v>7705</v>
      </c>
      <c r="D411" s="9" t="s">
        <v>236</v>
      </c>
      <c r="E411" s="5" t="s">
        <v>67</v>
      </c>
      <c r="F411" s="5" t="s">
        <v>29</v>
      </c>
      <c r="G411" s="5" t="s">
        <v>178</v>
      </c>
      <c r="H411" s="5">
        <v>100</v>
      </c>
      <c r="I411" s="25">
        <v>2933</v>
      </c>
      <c r="J411" s="9">
        <v>0</v>
      </c>
      <c r="K411" s="9">
        <v>0</v>
      </c>
      <c r="L411" s="9" t="s">
        <v>90</v>
      </c>
      <c r="M411" s="15">
        <f t="shared" si="9"/>
        <v>293300</v>
      </c>
      <c r="N411" s="21">
        <v>23100</v>
      </c>
    </row>
    <row r="412" spans="1:14" x14ac:dyDescent="0.45">
      <c r="A412" s="4">
        <v>45327</v>
      </c>
      <c r="B412" s="4">
        <v>45329</v>
      </c>
      <c r="C412" s="5">
        <v>1928</v>
      </c>
      <c r="D412" s="9" t="s">
        <v>222</v>
      </c>
      <c r="E412" s="5" t="s">
        <v>67</v>
      </c>
      <c r="F412" s="5" t="s">
        <v>29</v>
      </c>
      <c r="G412" s="5" t="s">
        <v>30</v>
      </c>
      <c r="H412" s="5">
        <v>100</v>
      </c>
      <c r="I412" s="25">
        <v>3300</v>
      </c>
      <c r="J412" s="9">
        <v>0</v>
      </c>
      <c r="K412" s="9">
        <v>0</v>
      </c>
      <c r="L412" s="9" t="s">
        <v>177</v>
      </c>
      <c r="M412" s="15">
        <f t="shared" si="9"/>
        <v>330000</v>
      </c>
      <c r="N412" s="21">
        <v>0</v>
      </c>
    </row>
    <row r="413" spans="1:14" x14ac:dyDescent="0.45">
      <c r="A413" s="4">
        <v>45327</v>
      </c>
      <c r="B413" s="4">
        <v>45329</v>
      </c>
      <c r="C413" s="5">
        <v>2148</v>
      </c>
      <c r="D413" s="9" t="s">
        <v>240</v>
      </c>
      <c r="E413" s="5" t="s">
        <v>67</v>
      </c>
      <c r="F413" s="5" t="s">
        <v>29</v>
      </c>
      <c r="G413" s="5" t="s">
        <v>30</v>
      </c>
      <c r="H413" s="5">
        <v>100</v>
      </c>
      <c r="I413" s="25">
        <v>2004</v>
      </c>
      <c r="J413" s="9">
        <v>0</v>
      </c>
      <c r="K413" s="9">
        <v>0</v>
      </c>
      <c r="L413" s="9" t="s">
        <v>177</v>
      </c>
      <c r="M413" s="15">
        <f t="shared" si="9"/>
        <v>200400</v>
      </c>
      <c r="N413" s="21">
        <v>0</v>
      </c>
    </row>
    <row r="414" spans="1:14" x14ac:dyDescent="0.45">
      <c r="A414" s="4">
        <v>45328</v>
      </c>
      <c r="B414" s="4">
        <v>45330</v>
      </c>
      <c r="C414" s="5">
        <v>2148</v>
      </c>
      <c r="D414" s="9" t="s">
        <v>240</v>
      </c>
      <c r="E414" s="5" t="s">
        <v>67</v>
      </c>
      <c r="F414" s="5" t="s">
        <v>29</v>
      </c>
      <c r="G414" s="5" t="s">
        <v>178</v>
      </c>
      <c r="H414" s="5">
        <v>100</v>
      </c>
      <c r="I414" s="25">
        <v>1955</v>
      </c>
      <c r="J414" s="9">
        <v>0</v>
      </c>
      <c r="K414" s="9">
        <v>0</v>
      </c>
      <c r="L414" s="9" t="s">
        <v>90</v>
      </c>
      <c r="M414" s="15">
        <f t="shared" si="9"/>
        <v>195500</v>
      </c>
      <c r="N414" s="19">
        <v>-4900</v>
      </c>
    </row>
    <row r="415" spans="1:14" x14ac:dyDescent="0.45">
      <c r="A415" s="4">
        <v>45335</v>
      </c>
      <c r="B415" s="4">
        <v>45337</v>
      </c>
      <c r="C415" s="5">
        <v>6526</v>
      </c>
      <c r="D415" s="9" t="s">
        <v>239</v>
      </c>
      <c r="E415" s="5" t="s">
        <v>67</v>
      </c>
      <c r="F415" s="5" t="s">
        <v>29</v>
      </c>
      <c r="G415" s="5" t="s">
        <v>178</v>
      </c>
      <c r="H415" s="5">
        <v>100</v>
      </c>
      <c r="I415" s="25">
        <v>3693</v>
      </c>
      <c r="J415" s="9">
        <v>0</v>
      </c>
      <c r="K415" s="9">
        <v>0</v>
      </c>
      <c r="L415" s="9" t="s">
        <v>90</v>
      </c>
      <c r="M415" s="15">
        <f t="shared" ref="M415:M446" si="10">IF(G415="買付",H415*I415+SUM(J415:K415),H415*I415-SUM(J415:K415))</f>
        <v>369300</v>
      </c>
      <c r="N415" s="19">
        <v>31300</v>
      </c>
    </row>
    <row r="416" spans="1:14" x14ac:dyDescent="0.45">
      <c r="A416" s="4">
        <v>45337</v>
      </c>
      <c r="B416" s="4">
        <v>45341</v>
      </c>
      <c r="C416" s="5">
        <v>7974</v>
      </c>
      <c r="D416" s="9" t="s">
        <v>174</v>
      </c>
      <c r="E416" s="5" t="s">
        <v>68</v>
      </c>
      <c r="F416" s="5" t="s">
        <v>175</v>
      </c>
      <c r="G416" s="5" t="s">
        <v>30</v>
      </c>
      <c r="H416" s="5">
        <v>100</v>
      </c>
      <c r="I416" s="25">
        <v>8965</v>
      </c>
      <c r="J416" s="9">
        <v>0</v>
      </c>
      <c r="K416" s="9">
        <v>0</v>
      </c>
      <c r="L416" s="9" t="s">
        <v>177</v>
      </c>
      <c r="M416" s="15">
        <f t="shared" si="10"/>
        <v>896500</v>
      </c>
      <c r="N416" s="21">
        <v>0</v>
      </c>
    </row>
    <row r="417" spans="1:14" x14ac:dyDescent="0.45">
      <c r="A417" s="4">
        <v>45341</v>
      </c>
      <c r="B417" s="4">
        <v>45343</v>
      </c>
      <c r="C417" s="5">
        <v>2760</v>
      </c>
      <c r="D417" s="9" t="s">
        <v>241</v>
      </c>
      <c r="E417" s="5" t="s">
        <v>68</v>
      </c>
      <c r="F417" s="5" t="s">
        <v>175</v>
      </c>
      <c r="G417" s="5" t="s">
        <v>30</v>
      </c>
      <c r="H417" s="5">
        <v>100</v>
      </c>
      <c r="I417" s="25">
        <v>6700</v>
      </c>
      <c r="J417" s="9">
        <v>0</v>
      </c>
      <c r="K417" s="9">
        <v>0</v>
      </c>
      <c r="L417" s="9" t="s">
        <v>177</v>
      </c>
      <c r="M417" s="15">
        <f t="shared" si="10"/>
        <v>670000</v>
      </c>
      <c r="N417" s="21">
        <v>0</v>
      </c>
    </row>
    <row r="418" spans="1:14" x14ac:dyDescent="0.45">
      <c r="A418" s="4">
        <v>45341</v>
      </c>
      <c r="B418" s="4">
        <v>45343</v>
      </c>
      <c r="C418" s="5">
        <v>8001</v>
      </c>
      <c r="D418" s="9" t="s">
        <v>203</v>
      </c>
      <c r="E418" s="5" t="s">
        <v>68</v>
      </c>
      <c r="F418" s="5" t="s">
        <v>175</v>
      </c>
      <c r="G418" s="5" t="s">
        <v>30</v>
      </c>
      <c r="H418" s="5">
        <v>100</v>
      </c>
      <c r="I418" s="25">
        <v>6620</v>
      </c>
      <c r="J418" s="9">
        <v>0</v>
      </c>
      <c r="K418" s="9">
        <v>0</v>
      </c>
      <c r="L418" s="9" t="s">
        <v>177</v>
      </c>
      <c r="M418" s="15">
        <f t="shared" si="10"/>
        <v>662000</v>
      </c>
      <c r="N418" s="21">
        <v>0</v>
      </c>
    </row>
    <row r="419" spans="1:14" x14ac:dyDescent="0.45">
      <c r="A419" s="4">
        <v>45343</v>
      </c>
      <c r="B419" s="4">
        <v>45348</v>
      </c>
      <c r="C419" s="5">
        <v>6857</v>
      </c>
      <c r="D419" s="9" t="s">
        <v>242</v>
      </c>
      <c r="E419" s="5" t="s">
        <v>68</v>
      </c>
      <c r="F419" s="5" t="s">
        <v>175</v>
      </c>
      <c r="G419" s="5" t="s">
        <v>30</v>
      </c>
      <c r="H419" s="5">
        <v>100</v>
      </c>
      <c r="I419" s="25">
        <v>6535</v>
      </c>
      <c r="J419" s="9">
        <v>0</v>
      </c>
      <c r="K419" s="9">
        <v>0</v>
      </c>
      <c r="L419" s="9" t="s">
        <v>177</v>
      </c>
      <c r="M419" s="15">
        <f t="shared" si="10"/>
        <v>653500</v>
      </c>
      <c r="N419" s="21">
        <v>0</v>
      </c>
    </row>
    <row r="420" spans="1:14" x14ac:dyDescent="0.45">
      <c r="A420" s="4">
        <v>45344</v>
      </c>
      <c r="B420" s="4">
        <v>45349</v>
      </c>
      <c r="C420" s="5">
        <v>7203</v>
      </c>
      <c r="D420" s="9" t="s">
        <v>243</v>
      </c>
      <c r="E420" s="5" t="s">
        <v>68</v>
      </c>
      <c r="F420" s="5" t="s">
        <v>175</v>
      </c>
      <c r="G420" s="5" t="s">
        <v>30</v>
      </c>
      <c r="H420" s="5">
        <v>100</v>
      </c>
      <c r="I420" s="25">
        <v>3515</v>
      </c>
      <c r="J420" s="9">
        <v>0</v>
      </c>
      <c r="K420" s="9">
        <v>0</v>
      </c>
      <c r="L420" s="9" t="s">
        <v>177</v>
      </c>
      <c r="M420" s="15">
        <f t="shared" si="10"/>
        <v>351500</v>
      </c>
      <c r="N420" s="21">
        <v>0</v>
      </c>
    </row>
    <row r="421" spans="1:14" x14ac:dyDescent="0.45">
      <c r="A421" s="4">
        <v>45344</v>
      </c>
      <c r="B421" s="4">
        <v>45349</v>
      </c>
      <c r="C421" s="5">
        <v>7735</v>
      </c>
      <c r="D421" s="9" t="s">
        <v>244</v>
      </c>
      <c r="E421" s="5" t="s">
        <v>68</v>
      </c>
      <c r="F421" s="5" t="s">
        <v>175</v>
      </c>
      <c r="G421" s="5" t="s">
        <v>30</v>
      </c>
      <c r="H421" s="5">
        <v>100</v>
      </c>
      <c r="I421" s="25">
        <v>19890</v>
      </c>
      <c r="J421" s="9">
        <v>0</v>
      </c>
      <c r="K421" s="9">
        <v>0</v>
      </c>
      <c r="L421" s="9" t="s">
        <v>177</v>
      </c>
      <c r="M421" s="15">
        <f t="shared" si="10"/>
        <v>1989000</v>
      </c>
      <c r="N421" s="21">
        <v>0</v>
      </c>
    </row>
    <row r="422" spans="1:14" x14ac:dyDescent="0.45">
      <c r="A422" s="4">
        <v>45344</v>
      </c>
      <c r="B422" s="4">
        <v>45349</v>
      </c>
      <c r="C422" s="5">
        <v>7974</v>
      </c>
      <c r="D422" s="9" t="s">
        <v>174</v>
      </c>
      <c r="E422" s="5" t="s">
        <v>68</v>
      </c>
      <c r="F422" s="5" t="s">
        <v>175</v>
      </c>
      <c r="G422" s="5" t="s">
        <v>30</v>
      </c>
      <c r="H422" s="5">
        <v>100</v>
      </c>
      <c r="I422" s="25">
        <v>8394</v>
      </c>
      <c r="J422" s="9">
        <v>0</v>
      </c>
      <c r="K422" s="9">
        <v>0</v>
      </c>
      <c r="L422" s="9" t="s">
        <v>177</v>
      </c>
      <c r="M422" s="15">
        <f t="shared" si="10"/>
        <v>839400</v>
      </c>
      <c r="N422" s="21">
        <v>0</v>
      </c>
    </row>
    <row r="423" spans="1:14" x14ac:dyDescent="0.45">
      <c r="A423" s="4">
        <v>45348</v>
      </c>
      <c r="B423" s="4">
        <v>45350</v>
      </c>
      <c r="C423" s="5">
        <v>2163</v>
      </c>
      <c r="D423" s="9" t="s">
        <v>238</v>
      </c>
      <c r="E423" s="5" t="s">
        <v>67</v>
      </c>
      <c r="F423" s="5" t="s">
        <v>29</v>
      </c>
      <c r="G423" s="5" t="s">
        <v>178</v>
      </c>
      <c r="H423" s="5">
        <v>100</v>
      </c>
      <c r="I423" s="25">
        <v>2398</v>
      </c>
      <c r="J423" s="9">
        <v>0</v>
      </c>
      <c r="K423" s="9">
        <v>0</v>
      </c>
      <c r="L423" s="9" t="s">
        <v>90</v>
      </c>
      <c r="M423" s="15">
        <f t="shared" si="10"/>
        <v>239800</v>
      </c>
      <c r="N423" s="19">
        <v>13600</v>
      </c>
    </row>
    <row r="424" spans="1:14" x14ac:dyDescent="0.45">
      <c r="A424" s="4">
        <v>45348</v>
      </c>
      <c r="B424" s="4">
        <v>45350</v>
      </c>
      <c r="C424" s="5">
        <v>6890</v>
      </c>
      <c r="D424" s="9" t="s">
        <v>187</v>
      </c>
      <c r="E424" s="5" t="s">
        <v>67</v>
      </c>
      <c r="F424" s="5" t="s">
        <v>29</v>
      </c>
      <c r="G424" s="5" t="s">
        <v>178</v>
      </c>
      <c r="H424" s="5">
        <v>100</v>
      </c>
      <c r="I424" s="25">
        <v>3000</v>
      </c>
      <c r="J424" s="9">
        <v>0</v>
      </c>
      <c r="K424" s="9">
        <v>0</v>
      </c>
      <c r="L424" s="9" t="s">
        <v>90</v>
      </c>
      <c r="M424" s="15">
        <f t="shared" si="10"/>
        <v>300000</v>
      </c>
      <c r="N424" s="19">
        <v>3000</v>
      </c>
    </row>
    <row r="425" spans="1:14" x14ac:dyDescent="0.45">
      <c r="A425" s="4">
        <v>45350</v>
      </c>
      <c r="B425" s="4">
        <v>45352</v>
      </c>
      <c r="C425" s="5">
        <v>2432</v>
      </c>
      <c r="D425" s="9" t="s">
        <v>246</v>
      </c>
      <c r="E425" s="5" t="s">
        <v>68</v>
      </c>
      <c r="F425" s="5" t="s">
        <v>175</v>
      </c>
      <c r="G425" s="5" t="s">
        <v>30</v>
      </c>
      <c r="H425" s="5">
        <v>100</v>
      </c>
      <c r="I425" s="25">
        <v>1392.5</v>
      </c>
      <c r="J425" s="9">
        <v>0</v>
      </c>
      <c r="K425" s="9">
        <v>0</v>
      </c>
      <c r="L425" s="9" t="s">
        <v>177</v>
      </c>
      <c r="M425" s="15">
        <f t="shared" si="10"/>
        <v>139250</v>
      </c>
      <c r="N425" s="21">
        <v>0</v>
      </c>
    </row>
    <row r="426" spans="1:14" x14ac:dyDescent="0.45">
      <c r="A426" s="4">
        <v>45350</v>
      </c>
      <c r="B426" s="4">
        <v>45352</v>
      </c>
      <c r="C426" s="5">
        <v>2432</v>
      </c>
      <c r="D426" s="9" t="s">
        <v>246</v>
      </c>
      <c r="E426" s="5" t="s">
        <v>68</v>
      </c>
      <c r="F426" s="5" t="s">
        <v>175</v>
      </c>
      <c r="G426" s="5" t="s">
        <v>30</v>
      </c>
      <c r="H426" s="5">
        <v>100</v>
      </c>
      <c r="I426" s="25">
        <v>1453</v>
      </c>
      <c r="J426" s="9">
        <v>0</v>
      </c>
      <c r="K426" s="9">
        <v>0</v>
      </c>
      <c r="L426" s="9" t="s">
        <v>177</v>
      </c>
      <c r="M426" s="15">
        <f t="shared" si="10"/>
        <v>145300</v>
      </c>
      <c r="N426" s="21">
        <v>0</v>
      </c>
    </row>
    <row r="427" spans="1:14" x14ac:dyDescent="0.45">
      <c r="A427" s="4">
        <v>45351</v>
      </c>
      <c r="B427" s="4">
        <v>45355</v>
      </c>
      <c r="C427" s="5">
        <v>2432</v>
      </c>
      <c r="D427" s="9" t="s">
        <v>246</v>
      </c>
      <c r="E427" s="5" t="s">
        <v>68</v>
      </c>
      <c r="F427" s="5" t="s">
        <v>175</v>
      </c>
      <c r="G427" s="5" t="s">
        <v>30</v>
      </c>
      <c r="H427" s="5">
        <v>100</v>
      </c>
      <c r="I427" s="25">
        <v>1490</v>
      </c>
      <c r="J427" s="9">
        <v>0</v>
      </c>
      <c r="K427" s="9">
        <v>0</v>
      </c>
      <c r="L427" s="9" t="s">
        <v>177</v>
      </c>
      <c r="M427" s="15">
        <f t="shared" si="10"/>
        <v>149000</v>
      </c>
      <c r="N427" s="21">
        <v>0</v>
      </c>
    </row>
    <row r="428" spans="1:14" x14ac:dyDescent="0.45">
      <c r="A428" s="4">
        <v>45352</v>
      </c>
      <c r="B428" s="4">
        <v>45356</v>
      </c>
      <c r="C428" s="5">
        <v>8001</v>
      </c>
      <c r="D428" s="9" t="s">
        <v>203</v>
      </c>
      <c r="E428" s="5" t="s">
        <v>68</v>
      </c>
      <c r="F428" s="5" t="s">
        <v>175</v>
      </c>
      <c r="G428" s="5" t="s">
        <v>178</v>
      </c>
      <c r="H428" s="5">
        <v>100</v>
      </c>
      <c r="I428" s="25">
        <v>6637</v>
      </c>
      <c r="J428" s="9">
        <v>0</v>
      </c>
      <c r="K428" s="9">
        <v>0</v>
      </c>
      <c r="L428" s="9" t="s">
        <v>90</v>
      </c>
      <c r="M428" s="15">
        <f t="shared" si="10"/>
        <v>663700</v>
      </c>
      <c r="N428" s="19">
        <v>1700</v>
      </c>
    </row>
    <row r="429" spans="1:14" x14ac:dyDescent="0.45">
      <c r="A429" s="4">
        <v>45355</v>
      </c>
      <c r="B429" s="4">
        <v>45357</v>
      </c>
      <c r="C429" s="5">
        <v>1928</v>
      </c>
      <c r="D429" s="9" t="s">
        <v>222</v>
      </c>
      <c r="E429" s="5" t="s">
        <v>68</v>
      </c>
      <c r="F429" s="5" t="s">
        <v>175</v>
      </c>
      <c r="G429" s="5" t="s">
        <v>178</v>
      </c>
      <c r="H429" s="5">
        <v>100</v>
      </c>
      <c r="I429" s="25">
        <v>3359.4</v>
      </c>
      <c r="J429" s="9">
        <v>0</v>
      </c>
      <c r="K429" s="9">
        <v>0</v>
      </c>
      <c r="L429" s="9" t="s">
        <v>90</v>
      </c>
      <c r="M429" s="15">
        <f t="shared" si="10"/>
        <v>335940</v>
      </c>
      <c r="N429" s="19">
        <v>5940</v>
      </c>
    </row>
    <row r="430" spans="1:14" x14ac:dyDescent="0.45">
      <c r="A430" s="4">
        <v>45355</v>
      </c>
      <c r="B430" s="4">
        <v>45357</v>
      </c>
      <c r="C430" s="5">
        <v>3778</v>
      </c>
      <c r="D430" s="9" t="s">
        <v>248</v>
      </c>
      <c r="E430" s="5" t="s">
        <v>68</v>
      </c>
      <c r="F430" s="5" t="s">
        <v>175</v>
      </c>
      <c r="G430" s="5" t="s">
        <v>30</v>
      </c>
      <c r="H430" s="5">
        <v>100</v>
      </c>
      <c r="I430" s="25">
        <v>8820</v>
      </c>
      <c r="J430" s="9">
        <v>0</v>
      </c>
      <c r="K430" s="9">
        <v>0</v>
      </c>
      <c r="L430" s="9" t="s">
        <v>177</v>
      </c>
      <c r="M430" s="15">
        <f t="shared" si="10"/>
        <v>882000</v>
      </c>
      <c r="N430" s="19">
        <v>0</v>
      </c>
    </row>
    <row r="431" spans="1:14" x14ac:dyDescent="0.45">
      <c r="A431" s="4">
        <v>45356</v>
      </c>
      <c r="B431" s="4">
        <v>45358</v>
      </c>
      <c r="C431" s="5">
        <v>2760</v>
      </c>
      <c r="D431" s="9" t="s">
        <v>241</v>
      </c>
      <c r="E431" s="5" t="s">
        <v>68</v>
      </c>
      <c r="F431" s="5" t="s">
        <v>175</v>
      </c>
      <c r="G431" s="5" t="s">
        <v>178</v>
      </c>
      <c r="H431" s="5">
        <v>100</v>
      </c>
      <c r="I431" s="25">
        <v>7840</v>
      </c>
      <c r="J431" s="9">
        <v>0</v>
      </c>
      <c r="K431" s="9">
        <v>0</v>
      </c>
      <c r="L431" s="9" t="s">
        <v>90</v>
      </c>
      <c r="M431" s="15">
        <f t="shared" si="10"/>
        <v>784000</v>
      </c>
      <c r="N431" s="19">
        <v>114500</v>
      </c>
    </row>
    <row r="432" spans="1:14" x14ac:dyDescent="0.45">
      <c r="A432" s="4">
        <v>45356</v>
      </c>
      <c r="B432" s="4">
        <v>45358</v>
      </c>
      <c r="C432" s="5">
        <v>3778</v>
      </c>
      <c r="D432" s="9" t="s">
        <v>248</v>
      </c>
      <c r="E432" s="5" t="s">
        <v>68</v>
      </c>
      <c r="F432" s="5" t="s">
        <v>175</v>
      </c>
      <c r="G432" s="5" t="s">
        <v>178</v>
      </c>
      <c r="H432" s="5">
        <v>100</v>
      </c>
      <c r="I432" s="25">
        <v>9640</v>
      </c>
      <c r="J432" s="9">
        <v>0</v>
      </c>
      <c r="K432" s="9">
        <v>0</v>
      </c>
      <c r="L432" s="9" t="s">
        <v>90</v>
      </c>
      <c r="M432" s="15">
        <f t="shared" si="10"/>
        <v>964000</v>
      </c>
      <c r="N432" s="19">
        <v>82000</v>
      </c>
    </row>
    <row r="433" spans="1:14" x14ac:dyDescent="0.45">
      <c r="A433" s="4">
        <v>45356</v>
      </c>
      <c r="B433" s="4">
        <v>45358</v>
      </c>
      <c r="C433" s="5">
        <v>8058</v>
      </c>
      <c r="D433" s="9" t="s">
        <v>72</v>
      </c>
      <c r="E433" s="5" t="s">
        <v>68</v>
      </c>
      <c r="F433" s="5" t="s">
        <v>175</v>
      </c>
      <c r="G433" s="5" t="s">
        <v>30</v>
      </c>
      <c r="H433" s="5">
        <v>100</v>
      </c>
      <c r="I433" s="25">
        <v>3284</v>
      </c>
      <c r="J433" s="9">
        <v>0</v>
      </c>
      <c r="K433" s="9">
        <v>0</v>
      </c>
      <c r="L433" s="9" t="s">
        <v>177</v>
      </c>
      <c r="M433" s="15">
        <f t="shared" si="10"/>
        <v>328400</v>
      </c>
      <c r="N433" s="19">
        <v>0</v>
      </c>
    </row>
    <row r="434" spans="1:14" x14ac:dyDescent="0.45">
      <c r="A434" s="4">
        <v>45357</v>
      </c>
      <c r="B434" s="4">
        <v>45359</v>
      </c>
      <c r="C434" s="5">
        <v>6856</v>
      </c>
      <c r="D434" s="9" t="s">
        <v>249</v>
      </c>
      <c r="E434" s="5" t="s">
        <v>68</v>
      </c>
      <c r="F434" s="5" t="s">
        <v>175</v>
      </c>
      <c r="G434" s="5" t="s">
        <v>30</v>
      </c>
      <c r="H434" s="5">
        <v>100</v>
      </c>
      <c r="I434" s="25">
        <v>15660</v>
      </c>
      <c r="J434" s="9">
        <v>0</v>
      </c>
      <c r="K434" s="9">
        <v>0</v>
      </c>
      <c r="L434" s="9" t="s">
        <v>177</v>
      </c>
      <c r="M434" s="15">
        <f t="shared" si="10"/>
        <v>1566000</v>
      </c>
      <c r="N434" s="19">
        <v>0</v>
      </c>
    </row>
    <row r="435" spans="1:14" x14ac:dyDescent="0.45">
      <c r="A435" s="4">
        <v>45362</v>
      </c>
      <c r="B435" s="4">
        <v>45364</v>
      </c>
      <c r="C435" s="5">
        <v>7203</v>
      </c>
      <c r="D435" s="9" t="s">
        <v>243</v>
      </c>
      <c r="E435" s="5" t="s">
        <v>68</v>
      </c>
      <c r="F435" s="5" t="s">
        <v>175</v>
      </c>
      <c r="G435" s="5" t="s">
        <v>178</v>
      </c>
      <c r="H435" s="5">
        <v>100</v>
      </c>
      <c r="I435" s="25">
        <v>3516</v>
      </c>
      <c r="J435" s="9">
        <v>0</v>
      </c>
      <c r="K435" s="9">
        <v>0</v>
      </c>
      <c r="L435" s="9" t="s">
        <v>90</v>
      </c>
      <c r="M435" s="15">
        <f t="shared" si="10"/>
        <v>351600</v>
      </c>
      <c r="N435" s="21">
        <v>100</v>
      </c>
    </row>
    <row r="436" spans="1:14" x14ac:dyDescent="0.45">
      <c r="A436" s="4">
        <v>45362</v>
      </c>
      <c r="B436" s="4">
        <v>45364</v>
      </c>
      <c r="C436" s="5">
        <v>4063</v>
      </c>
      <c r="D436" s="9" t="s">
        <v>100</v>
      </c>
      <c r="E436" s="5" t="s">
        <v>68</v>
      </c>
      <c r="F436" s="5" t="s">
        <v>175</v>
      </c>
      <c r="G436" s="5" t="s">
        <v>178</v>
      </c>
      <c r="H436" s="5">
        <v>100</v>
      </c>
      <c r="I436" s="25">
        <v>6380</v>
      </c>
      <c r="J436" s="9">
        <v>0</v>
      </c>
      <c r="K436" s="9">
        <v>0</v>
      </c>
      <c r="L436" s="9" t="s">
        <v>90</v>
      </c>
      <c r="M436" s="15">
        <f t="shared" si="10"/>
        <v>638000</v>
      </c>
      <c r="N436" s="21">
        <v>53000</v>
      </c>
    </row>
    <row r="437" spans="1:14" x14ac:dyDescent="0.45">
      <c r="A437" s="4">
        <v>45364</v>
      </c>
      <c r="B437" s="4">
        <v>45366</v>
      </c>
      <c r="C437" s="5">
        <v>4063</v>
      </c>
      <c r="D437" s="9" t="s">
        <v>100</v>
      </c>
      <c r="E437" s="5" t="s">
        <v>68</v>
      </c>
      <c r="F437" s="5" t="s">
        <v>175</v>
      </c>
      <c r="G437" s="5" t="s">
        <v>30</v>
      </c>
      <c r="H437" s="5">
        <v>100</v>
      </c>
      <c r="I437" s="25">
        <v>6535</v>
      </c>
      <c r="J437" s="9">
        <v>0</v>
      </c>
      <c r="K437" s="9">
        <v>0</v>
      </c>
      <c r="L437" s="9" t="s">
        <v>177</v>
      </c>
      <c r="M437" s="15">
        <f t="shared" si="10"/>
        <v>653500</v>
      </c>
      <c r="N437" s="21">
        <v>0</v>
      </c>
    </row>
    <row r="438" spans="1:14" x14ac:dyDescent="0.45">
      <c r="A438" s="4">
        <v>45366</v>
      </c>
      <c r="B438" s="4">
        <v>45370</v>
      </c>
      <c r="C438" s="5">
        <v>5186</v>
      </c>
      <c r="D438" s="9" t="s">
        <v>224</v>
      </c>
      <c r="E438" s="5" t="s">
        <v>67</v>
      </c>
      <c r="F438" s="5" t="s">
        <v>29</v>
      </c>
      <c r="G438" s="5" t="s">
        <v>178</v>
      </c>
      <c r="H438" s="5">
        <v>100</v>
      </c>
      <c r="I438" s="25">
        <v>3940</v>
      </c>
      <c r="J438" s="9">
        <v>0</v>
      </c>
      <c r="K438" s="9">
        <v>0</v>
      </c>
      <c r="L438" s="9" t="s">
        <v>90</v>
      </c>
      <c r="M438" s="15">
        <f t="shared" si="10"/>
        <v>394000</v>
      </c>
      <c r="N438" s="19">
        <v>12000</v>
      </c>
    </row>
    <row r="439" spans="1:14" x14ac:dyDescent="0.45">
      <c r="A439" s="4">
        <v>45369</v>
      </c>
      <c r="B439" s="4">
        <v>45372</v>
      </c>
      <c r="C439" s="5">
        <v>2914</v>
      </c>
      <c r="D439" s="9" t="s">
        <v>107</v>
      </c>
      <c r="E439" s="5" t="s">
        <v>67</v>
      </c>
      <c r="F439" s="5" t="s">
        <v>29</v>
      </c>
      <c r="G439" s="5" t="s">
        <v>178</v>
      </c>
      <c r="H439" s="5">
        <v>100</v>
      </c>
      <c r="I439" s="25">
        <v>3900</v>
      </c>
      <c r="J439" s="9">
        <v>0</v>
      </c>
      <c r="K439" s="9">
        <v>0</v>
      </c>
      <c r="L439" s="9" t="s">
        <v>90</v>
      </c>
      <c r="M439" s="15">
        <f t="shared" si="10"/>
        <v>390000</v>
      </c>
      <c r="N439" s="21">
        <v>9700</v>
      </c>
    </row>
    <row r="440" spans="1:14" x14ac:dyDescent="0.45">
      <c r="A440" s="4">
        <v>45372</v>
      </c>
      <c r="B440" s="4">
        <v>45376</v>
      </c>
      <c r="C440" s="5">
        <v>5108</v>
      </c>
      <c r="D440" s="9" t="s">
        <v>186</v>
      </c>
      <c r="E440" s="5" t="s">
        <v>67</v>
      </c>
      <c r="F440" s="5" t="s">
        <v>29</v>
      </c>
      <c r="G440" s="5" t="s">
        <v>178</v>
      </c>
      <c r="H440" s="5">
        <v>100</v>
      </c>
      <c r="I440" s="25">
        <v>6633.9</v>
      </c>
      <c r="J440" s="9">
        <v>0</v>
      </c>
      <c r="K440" s="9">
        <v>0</v>
      </c>
      <c r="L440" s="9" t="s">
        <v>90</v>
      </c>
      <c r="M440" s="15">
        <f t="shared" si="10"/>
        <v>663390</v>
      </c>
      <c r="N440" s="19">
        <v>28590</v>
      </c>
    </row>
    <row r="441" spans="1:14" x14ac:dyDescent="0.45">
      <c r="A441" s="4">
        <v>45372</v>
      </c>
      <c r="B441" s="4">
        <v>45376</v>
      </c>
      <c r="C441" s="5">
        <v>6857</v>
      </c>
      <c r="D441" s="9" t="s">
        <v>242</v>
      </c>
      <c r="E441" s="5" t="s">
        <v>68</v>
      </c>
      <c r="F441" s="5" t="s">
        <v>175</v>
      </c>
      <c r="G441" s="5" t="s">
        <v>178</v>
      </c>
      <c r="H441" s="5">
        <v>100</v>
      </c>
      <c r="I441" s="25">
        <v>6662</v>
      </c>
      <c r="J441" s="9">
        <v>0</v>
      </c>
      <c r="K441" s="9">
        <v>0</v>
      </c>
      <c r="L441" s="9" t="s">
        <v>90</v>
      </c>
      <c r="M441" s="15">
        <f t="shared" si="10"/>
        <v>666200</v>
      </c>
      <c r="N441" s="19">
        <v>12700</v>
      </c>
    </row>
    <row r="442" spans="1:14" x14ac:dyDescent="0.45">
      <c r="A442" s="4">
        <v>45372</v>
      </c>
      <c r="B442" s="4">
        <v>45376</v>
      </c>
      <c r="C442" s="5">
        <v>9613</v>
      </c>
      <c r="D442" s="9" t="s">
        <v>250</v>
      </c>
      <c r="E442" s="5" t="s">
        <v>68</v>
      </c>
      <c r="F442" s="5" t="s">
        <v>175</v>
      </c>
      <c r="G442" s="5" t="s">
        <v>30</v>
      </c>
      <c r="H442" s="5">
        <v>100</v>
      </c>
      <c r="I442" s="25">
        <v>2535</v>
      </c>
      <c r="J442" s="9">
        <v>0</v>
      </c>
      <c r="K442" s="9">
        <v>0</v>
      </c>
      <c r="L442" s="21" t="s">
        <v>177</v>
      </c>
      <c r="M442" s="15">
        <f t="shared" si="10"/>
        <v>253500</v>
      </c>
      <c r="N442" s="21">
        <v>0</v>
      </c>
    </row>
    <row r="443" spans="1:14" x14ac:dyDescent="0.45">
      <c r="A443" s="4">
        <v>45373</v>
      </c>
      <c r="B443" s="4">
        <v>45377</v>
      </c>
      <c r="C443" s="5">
        <v>1911</v>
      </c>
      <c r="D443" s="9" t="s">
        <v>204</v>
      </c>
      <c r="E443" s="5" t="s">
        <v>68</v>
      </c>
      <c r="F443" s="5" t="s">
        <v>175</v>
      </c>
      <c r="G443" s="5" t="s">
        <v>178</v>
      </c>
      <c r="H443" s="5">
        <v>200</v>
      </c>
      <c r="I443" s="25">
        <v>4561.6000000000004</v>
      </c>
      <c r="J443" s="9">
        <v>0</v>
      </c>
      <c r="K443" s="9">
        <v>0</v>
      </c>
      <c r="L443" s="19" t="s">
        <v>90</v>
      </c>
      <c r="M443" s="15">
        <f t="shared" si="10"/>
        <v>912320.00000000012</v>
      </c>
      <c r="N443" s="19">
        <f>8660*2</f>
        <v>17320</v>
      </c>
    </row>
    <row r="444" spans="1:14" x14ac:dyDescent="0.45">
      <c r="A444" s="4">
        <v>45373</v>
      </c>
      <c r="B444" s="4">
        <v>45377</v>
      </c>
      <c r="C444" s="5">
        <v>6856</v>
      </c>
      <c r="D444" s="9" t="s">
        <v>249</v>
      </c>
      <c r="E444" s="5" t="s">
        <v>68</v>
      </c>
      <c r="F444" s="5" t="s">
        <v>175</v>
      </c>
      <c r="G444" s="5" t="s">
        <v>178</v>
      </c>
      <c r="H444" s="5">
        <v>100</v>
      </c>
      <c r="I444" s="25">
        <v>15825</v>
      </c>
      <c r="J444" s="9">
        <v>0</v>
      </c>
      <c r="K444" s="9">
        <v>0</v>
      </c>
      <c r="L444" s="19" t="s">
        <v>90</v>
      </c>
      <c r="M444" s="15">
        <f t="shared" si="10"/>
        <v>1582500</v>
      </c>
      <c r="N444" s="19">
        <v>16500</v>
      </c>
    </row>
    <row r="445" spans="1:14" x14ac:dyDescent="0.45">
      <c r="A445" s="4">
        <v>45373</v>
      </c>
      <c r="B445" s="4">
        <v>45377</v>
      </c>
      <c r="C445" s="5">
        <v>8058</v>
      </c>
      <c r="D445" s="9" t="s">
        <v>72</v>
      </c>
      <c r="E445" s="5" t="s">
        <v>68</v>
      </c>
      <c r="F445" s="5" t="s">
        <v>175</v>
      </c>
      <c r="G445" s="5" t="s">
        <v>178</v>
      </c>
      <c r="H445" s="5">
        <v>100</v>
      </c>
      <c r="I445" s="25">
        <v>3565</v>
      </c>
      <c r="J445" s="9">
        <v>0</v>
      </c>
      <c r="K445" s="9">
        <v>0</v>
      </c>
      <c r="L445" s="19" t="s">
        <v>90</v>
      </c>
      <c r="M445" s="15">
        <f t="shared" si="10"/>
        <v>356500</v>
      </c>
      <c r="N445" s="19">
        <v>28100</v>
      </c>
    </row>
    <row r="446" spans="1:14" x14ac:dyDescent="0.45">
      <c r="A446" s="4">
        <v>45383</v>
      </c>
      <c r="B446" s="4">
        <v>45385</v>
      </c>
      <c r="C446" s="5">
        <v>4063</v>
      </c>
      <c r="D446" s="9" t="s">
        <v>100</v>
      </c>
      <c r="E446" s="5" t="s">
        <v>68</v>
      </c>
      <c r="F446" s="5" t="s">
        <v>175</v>
      </c>
      <c r="G446" s="5" t="s">
        <v>30</v>
      </c>
      <c r="H446" s="5">
        <v>100</v>
      </c>
      <c r="I446" s="25">
        <v>6409</v>
      </c>
      <c r="J446" s="9">
        <v>0</v>
      </c>
      <c r="K446" s="9">
        <v>0</v>
      </c>
      <c r="L446" s="21" t="s">
        <v>177</v>
      </c>
      <c r="M446" s="15">
        <f t="shared" si="10"/>
        <v>640900</v>
      </c>
      <c r="N446" s="21">
        <v>0</v>
      </c>
    </row>
    <row r="447" spans="1:14" x14ac:dyDescent="0.45">
      <c r="A447" s="4">
        <v>45383</v>
      </c>
      <c r="B447" s="4">
        <v>45385</v>
      </c>
      <c r="C447" s="5">
        <v>6857</v>
      </c>
      <c r="D447" s="9" t="s">
        <v>242</v>
      </c>
      <c r="E447" s="5" t="s">
        <v>68</v>
      </c>
      <c r="F447" s="5" t="s">
        <v>175</v>
      </c>
      <c r="G447" s="5" t="s">
        <v>30</v>
      </c>
      <c r="H447" s="5">
        <v>100</v>
      </c>
      <c r="I447" s="25">
        <v>6565</v>
      </c>
      <c r="J447" s="9">
        <v>0</v>
      </c>
      <c r="K447" s="9">
        <v>0</v>
      </c>
      <c r="L447" s="21" t="s">
        <v>177</v>
      </c>
      <c r="M447" s="15">
        <f t="shared" ref="M447:M465" si="11">IF(G447="買付",H447*I447+SUM(J447:K447),H447*I447-SUM(J447:K447))</f>
        <v>656500</v>
      </c>
      <c r="N447" s="21">
        <v>0</v>
      </c>
    </row>
    <row r="448" spans="1:14" x14ac:dyDescent="0.45">
      <c r="A448" s="4">
        <v>45383</v>
      </c>
      <c r="B448" s="4">
        <v>45385</v>
      </c>
      <c r="C448" s="5">
        <v>7203</v>
      </c>
      <c r="D448" s="9" t="s">
        <v>243</v>
      </c>
      <c r="E448" s="5" t="s">
        <v>68</v>
      </c>
      <c r="F448" s="5" t="s">
        <v>175</v>
      </c>
      <c r="G448" s="5" t="s">
        <v>30</v>
      </c>
      <c r="H448" s="5">
        <v>100</v>
      </c>
      <c r="I448" s="25">
        <v>3652</v>
      </c>
      <c r="J448" s="9">
        <v>0</v>
      </c>
      <c r="K448" s="9">
        <v>0</v>
      </c>
      <c r="L448" s="21" t="s">
        <v>177</v>
      </c>
      <c r="M448" s="15">
        <f t="shared" si="11"/>
        <v>365200</v>
      </c>
      <c r="N448" s="21">
        <v>0</v>
      </c>
    </row>
    <row r="449" spans="1:14" x14ac:dyDescent="0.45">
      <c r="A449" s="4">
        <v>45383</v>
      </c>
      <c r="B449" s="4">
        <v>45385</v>
      </c>
      <c r="C449" s="5">
        <v>8031</v>
      </c>
      <c r="D449" s="9" t="s">
        <v>195</v>
      </c>
      <c r="E449" s="5" t="s">
        <v>67</v>
      </c>
      <c r="F449" s="5" t="s">
        <v>29</v>
      </c>
      <c r="G449" s="5" t="s">
        <v>30</v>
      </c>
      <c r="H449" s="5">
        <v>100</v>
      </c>
      <c r="I449" s="25">
        <v>6915</v>
      </c>
      <c r="J449" s="9">
        <v>0</v>
      </c>
      <c r="K449" s="9">
        <v>0</v>
      </c>
      <c r="L449" s="21" t="s">
        <v>177</v>
      </c>
      <c r="M449" s="15">
        <f t="shared" si="11"/>
        <v>691500</v>
      </c>
      <c r="N449" s="21">
        <v>0</v>
      </c>
    </row>
    <row r="450" spans="1:14" x14ac:dyDescent="0.45">
      <c r="A450" s="4">
        <v>45383</v>
      </c>
      <c r="B450" s="4">
        <v>45385</v>
      </c>
      <c r="C450" s="5">
        <v>8750</v>
      </c>
      <c r="D450" s="9" t="s">
        <v>251</v>
      </c>
      <c r="E450" s="5" t="s">
        <v>67</v>
      </c>
      <c r="F450" s="5" t="s">
        <v>29</v>
      </c>
      <c r="G450" s="5" t="s">
        <v>30</v>
      </c>
      <c r="H450" s="5">
        <v>100</v>
      </c>
      <c r="I450" s="25">
        <v>3840</v>
      </c>
      <c r="J450" s="9">
        <v>0</v>
      </c>
      <c r="K450" s="9">
        <v>0</v>
      </c>
      <c r="L450" s="21" t="s">
        <v>177</v>
      </c>
      <c r="M450" s="15">
        <f t="shared" si="11"/>
        <v>384000</v>
      </c>
      <c r="N450" s="21">
        <v>0</v>
      </c>
    </row>
    <row r="451" spans="1:14" x14ac:dyDescent="0.45">
      <c r="A451" s="4">
        <v>45385</v>
      </c>
      <c r="B451" s="4">
        <v>45387</v>
      </c>
      <c r="C451" s="5">
        <v>7974</v>
      </c>
      <c r="D451" s="9" t="s">
        <v>174</v>
      </c>
      <c r="E451" s="5" t="s">
        <v>67</v>
      </c>
      <c r="F451" s="5" t="s">
        <v>29</v>
      </c>
      <c r="G451" s="5" t="s">
        <v>178</v>
      </c>
      <c r="H451" s="5">
        <v>100</v>
      </c>
      <c r="I451" s="25">
        <v>7790</v>
      </c>
      <c r="J451" s="9">
        <v>0</v>
      </c>
      <c r="K451" s="9">
        <v>0</v>
      </c>
      <c r="L451" s="19" t="s">
        <v>90</v>
      </c>
      <c r="M451" s="15">
        <f t="shared" si="11"/>
        <v>779000</v>
      </c>
      <c r="N451" s="19">
        <v>-89000</v>
      </c>
    </row>
    <row r="452" spans="1:14" x14ac:dyDescent="0.45">
      <c r="A452" s="4">
        <v>45390</v>
      </c>
      <c r="B452" s="4">
        <v>45392</v>
      </c>
      <c r="C452" s="5">
        <v>7203</v>
      </c>
      <c r="D452" s="9" t="s">
        <v>243</v>
      </c>
      <c r="E452" s="5" t="s">
        <v>68</v>
      </c>
      <c r="F452" s="5" t="s">
        <v>175</v>
      </c>
      <c r="G452" s="5" t="s">
        <v>178</v>
      </c>
      <c r="H452" s="5">
        <v>100</v>
      </c>
      <c r="I452" s="25">
        <v>3674</v>
      </c>
      <c r="J452" s="9">
        <v>0</v>
      </c>
      <c r="K452" s="9">
        <v>0</v>
      </c>
      <c r="L452" s="19" t="s">
        <v>90</v>
      </c>
      <c r="M452" s="15">
        <f t="shared" si="11"/>
        <v>367400</v>
      </c>
      <c r="N452" s="19">
        <v>2200</v>
      </c>
    </row>
    <row r="453" spans="1:14" x14ac:dyDescent="0.45">
      <c r="A453" s="4">
        <v>45398</v>
      </c>
      <c r="B453" s="4">
        <v>45400</v>
      </c>
      <c r="C453" s="5">
        <v>3397</v>
      </c>
      <c r="D453" s="9" t="s">
        <v>110</v>
      </c>
      <c r="E453" s="5" t="s">
        <v>68</v>
      </c>
      <c r="F453" s="5" t="s">
        <v>175</v>
      </c>
      <c r="G453" s="5" t="s">
        <v>178</v>
      </c>
      <c r="H453" s="5">
        <v>100</v>
      </c>
      <c r="I453" s="25">
        <v>3865</v>
      </c>
      <c r="J453" s="9">
        <v>0</v>
      </c>
      <c r="K453" s="9">
        <v>0</v>
      </c>
      <c r="L453" s="19" t="s">
        <v>90</v>
      </c>
      <c r="M453" s="15">
        <f t="shared" si="11"/>
        <v>386500</v>
      </c>
      <c r="N453" s="19">
        <v>-67000</v>
      </c>
    </row>
    <row r="454" spans="1:14" x14ac:dyDescent="0.45">
      <c r="A454" s="4">
        <v>45398</v>
      </c>
      <c r="B454" s="4">
        <v>45400</v>
      </c>
      <c r="C454" s="5">
        <v>6857</v>
      </c>
      <c r="D454" s="9" t="s">
        <v>242</v>
      </c>
      <c r="E454" s="5" t="s">
        <v>68</v>
      </c>
      <c r="F454" s="5" t="s">
        <v>175</v>
      </c>
      <c r="G454" s="5" t="s">
        <v>178</v>
      </c>
      <c r="H454" s="5">
        <v>100</v>
      </c>
      <c r="I454" s="25">
        <v>5696</v>
      </c>
      <c r="J454" s="9">
        <v>0</v>
      </c>
      <c r="K454" s="9">
        <v>0</v>
      </c>
      <c r="L454" s="19" t="s">
        <v>90</v>
      </c>
      <c r="M454" s="15">
        <f t="shared" si="11"/>
        <v>569600</v>
      </c>
      <c r="N454" s="19">
        <v>-86900</v>
      </c>
    </row>
    <row r="455" spans="1:14" x14ac:dyDescent="0.45">
      <c r="A455" s="4">
        <v>45398</v>
      </c>
      <c r="B455" s="4">
        <v>45400</v>
      </c>
      <c r="C455" s="5">
        <v>7974</v>
      </c>
      <c r="D455" s="9" t="s">
        <v>174</v>
      </c>
      <c r="E455" s="5" t="s">
        <v>67</v>
      </c>
      <c r="F455" s="5" t="s">
        <v>29</v>
      </c>
      <c r="G455" s="5" t="s">
        <v>178</v>
      </c>
      <c r="H455" s="5">
        <v>100</v>
      </c>
      <c r="I455" s="25">
        <v>7530</v>
      </c>
      <c r="J455" s="9">
        <v>0</v>
      </c>
      <c r="K455" s="9">
        <v>0</v>
      </c>
      <c r="L455" s="19" t="s">
        <v>90</v>
      </c>
      <c r="M455" s="15">
        <f t="shared" si="11"/>
        <v>753000</v>
      </c>
      <c r="N455" s="19">
        <v>-115000</v>
      </c>
    </row>
    <row r="456" spans="1:14" x14ac:dyDescent="0.45">
      <c r="A456" s="4">
        <v>45398</v>
      </c>
      <c r="B456" s="4">
        <v>45400</v>
      </c>
      <c r="C456" s="5">
        <v>8031</v>
      </c>
      <c r="D456" s="9" t="s">
        <v>195</v>
      </c>
      <c r="E456" s="5" t="s">
        <v>67</v>
      </c>
      <c r="F456" s="5" t="s">
        <v>29</v>
      </c>
      <c r="G456" s="5" t="s">
        <v>178</v>
      </c>
      <c r="H456" s="5">
        <v>100</v>
      </c>
      <c r="I456" s="25">
        <v>7215</v>
      </c>
      <c r="J456" s="9">
        <v>0</v>
      </c>
      <c r="K456" s="9">
        <v>0</v>
      </c>
      <c r="L456" s="19" t="s">
        <v>90</v>
      </c>
      <c r="M456" s="15">
        <f t="shared" si="11"/>
        <v>721500</v>
      </c>
      <c r="N456" s="19">
        <v>30000</v>
      </c>
    </row>
    <row r="457" spans="1:14" x14ac:dyDescent="0.45">
      <c r="A457" s="4">
        <v>45400</v>
      </c>
      <c r="B457" s="4">
        <v>45404</v>
      </c>
      <c r="C457" s="5">
        <v>8031</v>
      </c>
      <c r="D457" s="9" t="s">
        <v>195</v>
      </c>
      <c r="E457" s="5" t="s">
        <v>67</v>
      </c>
      <c r="F457" s="5" t="s">
        <v>29</v>
      </c>
      <c r="G457" s="5" t="s">
        <v>30</v>
      </c>
      <c r="H457" s="5">
        <v>100</v>
      </c>
      <c r="I457" s="25">
        <v>7232</v>
      </c>
      <c r="J457" s="9">
        <v>0</v>
      </c>
      <c r="K457" s="9">
        <v>0</v>
      </c>
      <c r="L457" s="21" t="s">
        <v>177</v>
      </c>
      <c r="M457" s="15">
        <f t="shared" si="11"/>
        <v>723200</v>
      </c>
      <c r="N457" s="19">
        <v>0</v>
      </c>
    </row>
    <row r="458" spans="1:14" x14ac:dyDescent="0.45">
      <c r="A458" s="4">
        <v>45404</v>
      </c>
      <c r="B458" s="4">
        <v>45406</v>
      </c>
      <c r="C458" s="5">
        <v>7735</v>
      </c>
      <c r="D458" s="9" t="s">
        <v>244</v>
      </c>
      <c r="E458" s="5" t="s">
        <v>68</v>
      </c>
      <c r="F458" s="5" t="s">
        <v>175</v>
      </c>
      <c r="G458" s="5" t="s">
        <v>178</v>
      </c>
      <c r="H458" s="5">
        <v>100</v>
      </c>
      <c r="I458" s="25">
        <v>16005</v>
      </c>
      <c r="J458" s="9">
        <v>0</v>
      </c>
      <c r="K458" s="9">
        <v>0</v>
      </c>
      <c r="L458" s="19" t="s">
        <v>90</v>
      </c>
      <c r="M458" s="15">
        <f t="shared" si="11"/>
        <v>1600500</v>
      </c>
      <c r="N458" s="19">
        <v>-388500</v>
      </c>
    </row>
    <row r="459" spans="1:14" x14ac:dyDescent="0.45">
      <c r="A459" s="4">
        <v>45407</v>
      </c>
      <c r="B459" s="4">
        <v>45412</v>
      </c>
      <c r="C459" s="5">
        <v>4452</v>
      </c>
      <c r="D459" s="9" t="s">
        <v>167</v>
      </c>
      <c r="E459" s="5" t="s">
        <v>68</v>
      </c>
      <c r="F459" s="5" t="s">
        <v>175</v>
      </c>
      <c r="G459" s="5" t="s">
        <v>178</v>
      </c>
      <c r="H459" s="5">
        <v>100</v>
      </c>
      <c r="I459" s="25">
        <v>6393</v>
      </c>
      <c r="J459" s="9">
        <v>0</v>
      </c>
      <c r="K459" s="9">
        <v>0</v>
      </c>
      <c r="L459" s="19" t="s">
        <v>90</v>
      </c>
      <c r="M459" s="15">
        <f t="shared" si="11"/>
        <v>639300</v>
      </c>
      <c r="N459" s="19">
        <v>12200</v>
      </c>
    </row>
    <row r="460" spans="1:14" x14ac:dyDescent="0.45">
      <c r="A460" s="4">
        <v>45414</v>
      </c>
      <c r="B460" s="4">
        <v>45420</v>
      </c>
      <c r="C460" s="5">
        <v>6254</v>
      </c>
      <c r="D460" s="9" t="s">
        <v>254</v>
      </c>
      <c r="E460" s="5" t="s">
        <v>67</v>
      </c>
      <c r="F460" s="5" t="s">
        <v>29</v>
      </c>
      <c r="G460" s="5" t="s">
        <v>30</v>
      </c>
      <c r="H460" s="5">
        <v>100</v>
      </c>
      <c r="I460" s="25">
        <v>5300</v>
      </c>
      <c r="J460" s="9">
        <v>0</v>
      </c>
      <c r="K460" s="9">
        <v>0</v>
      </c>
      <c r="L460" s="21" t="s">
        <v>177</v>
      </c>
      <c r="M460" s="15">
        <f t="shared" si="11"/>
        <v>530000</v>
      </c>
      <c r="N460" s="19">
        <v>0</v>
      </c>
    </row>
    <row r="461" spans="1:14" x14ac:dyDescent="0.45">
      <c r="A461" s="4">
        <v>45414</v>
      </c>
      <c r="B461" s="4">
        <v>45420</v>
      </c>
      <c r="C461" s="5">
        <v>8031</v>
      </c>
      <c r="D461" s="9" t="s">
        <v>195</v>
      </c>
      <c r="E461" s="5" t="s">
        <v>67</v>
      </c>
      <c r="F461" s="5" t="s">
        <v>29</v>
      </c>
      <c r="G461" s="5" t="s">
        <v>178</v>
      </c>
      <c r="H461" s="5">
        <v>100</v>
      </c>
      <c r="I461" s="25">
        <v>7732</v>
      </c>
      <c r="J461" s="9">
        <v>0</v>
      </c>
      <c r="K461" s="9">
        <v>0</v>
      </c>
      <c r="L461" s="19" t="s">
        <v>90</v>
      </c>
      <c r="M461" s="15">
        <f t="shared" si="11"/>
        <v>773200</v>
      </c>
      <c r="N461" s="19">
        <v>50000</v>
      </c>
    </row>
    <row r="462" spans="1:14" x14ac:dyDescent="0.45">
      <c r="A462" s="4">
        <v>45428</v>
      </c>
      <c r="B462" s="4">
        <v>45432</v>
      </c>
      <c r="C462" s="5">
        <v>8766</v>
      </c>
      <c r="D462" s="9" t="s">
        <v>44</v>
      </c>
      <c r="E462" s="5" t="s">
        <v>68</v>
      </c>
      <c r="F462" s="5" t="s">
        <v>175</v>
      </c>
      <c r="G462" s="5" t="s">
        <v>30</v>
      </c>
      <c r="H462" s="5">
        <v>100</v>
      </c>
      <c r="I462" s="25">
        <v>4945</v>
      </c>
      <c r="J462" s="9">
        <v>0</v>
      </c>
      <c r="K462" s="9">
        <v>0</v>
      </c>
      <c r="L462" s="21" t="s">
        <v>177</v>
      </c>
      <c r="M462" s="15">
        <f t="shared" si="11"/>
        <v>494500</v>
      </c>
      <c r="N462" s="19">
        <v>0</v>
      </c>
    </row>
    <row r="463" spans="1:14" x14ac:dyDescent="0.45">
      <c r="A463" s="4">
        <v>45447</v>
      </c>
      <c r="B463" s="4">
        <v>45449</v>
      </c>
      <c r="C463" s="5">
        <v>8031</v>
      </c>
      <c r="D463" s="9" t="s">
        <v>195</v>
      </c>
      <c r="E463" s="5" t="s">
        <v>67</v>
      </c>
      <c r="F463" s="5" t="s">
        <v>29</v>
      </c>
      <c r="G463" s="5" t="s">
        <v>30</v>
      </c>
      <c r="H463" s="5">
        <v>100</v>
      </c>
      <c r="I463" s="25">
        <v>7876</v>
      </c>
      <c r="J463" s="9">
        <v>0</v>
      </c>
      <c r="K463" s="9">
        <v>0</v>
      </c>
      <c r="L463" s="21" t="s">
        <v>177</v>
      </c>
      <c r="M463" s="15">
        <f t="shared" si="11"/>
        <v>787600</v>
      </c>
      <c r="N463" s="19">
        <v>0</v>
      </c>
    </row>
    <row r="464" spans="1:14" x14ac:dyDescent="0.45">
      <c r="A464" s="4">
        <v>45447</v>
      </c>
      <c r="B464" s="4">
        <v>45449</v>
      </c>
      <c r="C464" s="5">
        <v>5108</v>
      </c>
      <c r="D464" s="9" t="s">
        <v>186</v>
      </c>
      <c r="E464" s="5" t="s">
        <v>67</v>
      </c>
      <c r="F464" s="5" t="s">
        <v>29</v>
      </c>
      <c r="G464" s="5" t="s">
        <v>30</v>
      </c>
      <c r="H464" s="5">
        <v>100</v>
      </c>
      <c r="I464" s="25">
        <v>6826</v>
      </c>
      <c r="J464" s="9">
        <v>0</v>
      </c>
      <c r="K464" s="9">
        <v>0</v>
      </c>
      <c r="L464" s="21" t="s">
        <v>177</v>
      </c>
      <c r="M464" s="15">
        <f t="shared" si="11"/>
        <v>682600</v>
      </c>
      <c r="N464" s="19">
        <v>0</v>
      </c>
    </row>
    <row r="465" spans="1:14" x14ac:dyDescent="0.45">
      <c r="A465" s="4">
        <v>45460</v>
      </c>
      <c r="B465" s="4">
        <v>45462</v>
      </c>
      <c r="C465" s="5">
        <v>8766</v>
      </c>
      <c r="D465" s="9" t="s">
        <v>44</v>
      </c>
      <c r="E465" s="5" t="s">
        <v>67</v>
      </c>
      <c r="F465" s="5" t="s">
        <v>29</v>
      </c>
      <c r="G465" s="5" t="s">
        <v>30</v>
      </c>
      <c r="H465" s="5">
        <v>100</v>
      </c>
      <c r="I465" s="25">
        <v>5276</v>
      </c>
      <c r="J465" s="9">
        <v>0</v>
      </c>
      <c r="K465" s="9">
        <v>0</v>
      </c>
      <c r="L465" s="21" t="s">
        <v>177</v>
      </c>
      <c r="M465" s="15">
        <f t="shared" si="11"/>
        <v>527600</v>
      </c>
      <c r="N465" s="19">
        <v>0</v>
      </c>
    </row>
    <row r="466" spans="1:14" x14ac:dyDescent="0.45">
      <c r="A466" s="4">
        <v>45469</v>
      </c>
      <c r="B466" s="4">
        <v>45474</v>
      </c>
      <c r="C466" s="5">
        <v>8031</v>
      </c>
      <c r="D466" s="9" t="s">
        <v>195</v>
      </c>
      <c r="E466" s="5" t="s">
        <v>67</v>
      </c>
      <c r="F466" s="5"/>
      <c r="G466" s="5" t="s">
        <v>231</v>
      </c>
      <c r="H466" s="5">
        <v>100</v>
      </c>
      <c r="I466" s="25">
        <v>3938</v>
      </c>
      <c r="J466" s="9">
        <v>0</v>
      </c>
      <c r="K466" s="9">
        <v>0</v>
      </c>
      <c r="L466" s="21" t="s">
        <v>177</v>
      </c>
      <c r="M466" s="15">
        <v>0</v>
      </c>
      <c r="N466" s="19">
        <v>0</v>
      </c>
    </row>
    <row r="467" spans="1:14" x14ac:dyDescent="0.45">
      <c r="A467" s="4">
        <v>45471</v>
      </c>
      <c r="B467" s="4">
        <v>45475</v>
      </c>
      <c r="C467" s="5">
        <v>6856</v>
      </c>
      <c r="D467" s="9" t="s">
        <v>249</v>
      </c>
      <c r="E467" s="5" t="s">
        <v>68</v>
      </c>
      <c r="F467" s="5" t="s">
        <v>175</v>
      </c>
      <c r="G467" s="5" t="s">
        <v>30</v>
      </c>
      <c r="H467" s="5">
        <v>100</v>
      </c>
      <c r="I467" s="25">
        <v>12970</v>
      </c>
      <c r="J467" s="9">
        <v>0</v>
      </c>
      <c r="K467" s="9">
        <v>0</v>
      </c>
      <c r="L467" s="21" t="s">
        <v>177</v>
      </c>
      <c r="M467" s="15">
        <f t="shared" ref="M467:M498" si="12">IF(G467="買付",H467*I467+SUM(J467:K467),H467*I467-SUM(J467:K467))</f>
        <v>1297000</v>
      </c>
      <c r="N467" s="19">
        <v>0</v>
      </c>
    </row>
    <row r="468" spans="1:14" x14ac:dyDescent="0.45">
      <c r="A468" s="4">
        <v>45471</v>
      </c>
      <c r="B468" s="4">
        <v>45475</v>
      </c>
      <c r="C468" s="5">
        <v>2432</v>
      </c>
      <c r="D468" s="9" t="s">
        <v>246</v>
      </c>
      <c r="E468" s="5" t="s">
        <v>68</v>
      </c>
      <c r="F468" s="5" t="s">
        <v>175</v>
      </c>
      <c r="G468" s="5" t="s">
        <v>178</v>
      </c>
      <c r="H468" s="5">
        <v>300</v>
      </c>
      <c r="I468" s="25">
        <v>1589.5</v>
      </c>
      <c r="J468" s="9">
        <v>0</v>
      </c>
      <c r="K468" s="9">
        <v>0</v>
      </c>
      <c r="L468" s="19" t="s">
        <v>90</v>
      </c>
      <c r="M468" s="15">
        <f t="shared" si="12"/>
        <v>476850</v>
      </c>
      <c r="N468" s="19">
        <f>14350*3</f>
        <v>43050</v>
      </c>
    </row>
    <row r="469" spans="1:14" x14ac:dyDescent="0.45">
      <c r="A469" s="4">
        <v>45476</v>
      </c>
      <c r="B469" s="4">
        <v>45478</v>
      </c>
      <c r="C469" s="5">
        <v>6856</v>
      </c>
      <c r="D469" s="9" t="s">
        <v>249</v>
      </c>
      <c r="E469" s="5" t="s">
        <v>68</v>
      </c>
      <c r="F469" s="5" t="s">
        <v>175</v>
      </c>
      <c r="G469" s="5" t="s">
        <v>178</v>
      </c>
      <c r="H469" s="5">
        <v>100</v>
      </c>
      <c r="I469" s="25">
        <v>13535</v>
      </c>
      <c r="J469" s="9">
        <v>0</v>
      </c>
      <c r="K469" s="9">
        <v>0</v>
      </c>
      <c r="L469" s="19" t="s">
        <v>90</v>
      </c>
      <c r="M469" s="15">
        <f t="shared" si="12"/>
        <v>1353500</v>
      </c>
      <c r="N469" s="19">
        <v>56500</v>
      </c>
    </row>
    <row r="470" spans="1:14" x14ac:dyDescent="0.45">
      <c r="A470" s="4">
        <v>45476</v>
      </c>
      <c r="B470" s="4">
        <v>45478</v>
      </c>
      <c r="C470" s="5">
        <v>8766</v>
      </c>
      <c r="D470" s="9" t="s">
        <v>44</v>
      </c>
      <c r="E470" s="5" t="s">
        <v>68</v>
      </c>
      <c r="F470" s="5" t="s">
        <v>175</v>
      </c>
      <c r="G470" s="5" t="s">
        <v>178</v>
      </c>
      <c r="H470" s="5">
        <v>200</v>
      </c>
      <c r="I470" s="25">
        <v>6234</v>
      </c>
      <c r="J470" s="9">
        <v>0</v>
      </c>
      <c r="K470" s="14">
        <v>0</v>
      </c>
      <c r="L470" s="19" t="s">
        <v>90</v>
      </c>
      <c r="M470" s="15">
        <f t="shared" si="12"/>
        <v>1246800</v>
      </c>
      <c r="N470" s="19">
        <f>112300*2</f>
        <v>224600</v>
      </c>
    </row>
    <row r="471" spans="1:14" x14ac:dyDescent="0.45">
      <c r="A471" s="4">
        <v>45476</v>
      </c>
      <c r="B471" s="4">
        <v>45478</v>
      </c>
      <c r="C471" s="5">
        <v>8750</v>
      </c>
      <c r="D471" s="9" t="s">
        <v>251</v>
      </c>
      <c r="E471" s="5" t="s">
        <v>67</v>
      </c>
      <c r="F471" s="5" t="s">
        <v>29</v>
      </c>
      <c r="G471" s="5" t="s">
        <v>178</v>
      </c>
      <c r="H471" s="5">
        <v>100</v>
      </c>
      <c r="I471" s="25">
        <v>4581</v>
      </c>
      <c r="J471" s="9">
        <v>0</v>
      </c>
      <c r="K471" s="14">
        <v>0</v>
      </c>
      <c r="L471" s="19" t="s">
        <v>90</v>
      </c>
      <c r="M471" s="15">
        <f t="shared" si="12"/>
        <v>458100</v>
      </c>
      <c r="N471" s="19">
        <v>74100</v>
      </c>
    </row>
    <row r="472" spans="1:14" x14ac:dyDescent="0.45">
      <c r="A472" s="4">
        <v>45484</v>
      </c>
      <c r="B472" s="4">
        <v>45489</v>
      </c>
      <c r="C472" s="5">
        <v>4063</v>
      </c>
      <c r="D472" s="9" t="s">
        <v>100</v>
      </c>
      <c r="E472" s="5" t="s">
        <v>67</v>
      </c>
      <c r="F472" s="5" t="s">
        <v>29</v>
      </c>
      <c r="G472" s="5" t="s">
        <v>178</v>
      </c>
      <c r="H472" s="5">
        <v>200</v>
      </c>
      <c r="I472" s="25">
        <v>6738</v>
      </c>
      <c r="J472" s="9">
        <v>0</v>
      </c>
      <c r="K472" s="15">
        <v>0</v>
      </c>
      <c r="L472" s="19" t="s">
        <v>90</v>
      </c>
      <c r="M472" s="15">
        <f t="shared" si="12"/>
        <v>1347600</v>
      </c>
      <c r="N472" s="19">
        <f>26600*2</f>
        <v>53200</v>
      </c>
    </row>
    <row r="473" spans="1:14" x14ac:dyDescent="0.45">
      <c r="A473" s="4">
        <v>45485</v>
      </c>
      <c r="B473" s="4">
        <v>45490</v>
      </c>
      <c r="C473" s="5">
        <v>9602</v>
      </c>
      <c r="D473" s="9" t="s">
        <v>131</v>
      </c>
      <c r="E473" s="5" t="s">
        <v>67</v>
      </c>
      <c r="F473" s="5" t="s">
        <v>29</v>
      </c>
      <c r="G473" s="5" t="s">
        <v>30</v>
      </c>
      <c r="H473" s="5">
        <v>100</v>
      </c>
      <c r="I473" s="25">
        <v>4560</v>
      </c>
      <c r="J473" s="9">
        <v>0</v>
      </c>
      <c r="K473" s="15">
        <v>0</v>
      </c>
      <c r="L473" s="21" t="s">
        <v>177</v>
      </c>
      <c r="M473" s="15">
        <f t="shared" si="12"/>
        <v>456000</v>
      </c>
      <c r="N473" s="19">
        <v>0</v>
      </c>
    </row>
    <row r="474" spans="1:14" x14ac:dyDescent="0.45">
      <c r="A474" s="4">
        <v>45509</v>
      </c>
      <c r="B474" s="4">
        <v>45511</v>
      </c>
      <c r="C474" s="5">
        <v>9602</v>
      </c>
      <c r="D474" s="9" t="s">
        <v>131</v>
      </c>
      <c r="E474" s="5" t="s">
        <v>67</v>
      </c>
      <c r="F474" s="5" t="s">
        <v>29</v>
      </c>
      <c r="G474" s="5" t="s">
        <v>178</v>
      </c>
      <c r="H474" s="5">
        <v>100</v>
      </c>
      <c r="I474" s="25">
        <v>4789</v>
      </c>
      <c r="J474" s="9">
        <v>0</v>
      </c>
      <c r="K474" s="14">
        <v>0</v>
      </c>
      <c r="L474" s="19" t="s">
        <v>90</v>
      </c>
      <c r="M474" s="15">
        <f t="shared" si="12"/>
        <v>478900</v>
      </c>
      <c r="N474" s="19">
        <v>22900</v>
      </c>
    </row>
    <row r="475" spans="1:14" x14ac:dyDescent="0.45">
      <c r="A475" s="4">
        <v>45552</v>
      </c>
      <c r="B475" s="4">
        <v>45554</v>
      </c>
      <c r="C475" s="5">
        <v>9348</v>
      </c>
      <c r="D475" s="9" t="s">
        <v>260</v>
      </c>
      <c r="E475" s="5" t="s">
        <v>67</v>
      </c>
      <c r="F475" s="5" t="s">
        <v>29</v>
      </c>
      <c r="G475" s="5" t="s">
        <v>30</v>
      </c>
      <c r="H475" s="5">
        <v>100</v>
      </c>
      <c r="I475" s="25">
        <v>716.5</v>
      </c>
      <c r="J475" s="9">
        <v>0</v>
      </c>
      <c r="K475" s="14">
        <v>0</v>
      </c>
      <c r="L475" s="21" t="s">
        <v>177</v>
      </c>
      <c r="M475" s="15">
        <f t="shared" si="12"/>
        <v>71650</v>
      </c>
      <c r="N475" s="21">
        <v>0</v>
      </c>
    </row>
    <row r="476" spans="1:14" x14ac:dyDescent="0.45">
      <c r="A476" s="4">
        <v>45552</v>
      </c>
      <c r="B476" s="4">
        <v>45554</v>
      </c>
      <c r="C476" s="5">
        <v>9348</v>
      </c>
      <c r="D476" s="9" t="s">
        <v>260</v>
      </c>
      <c r="E476" s="5" t="s">
        <v>67</v>
      </c>
      <c r="F476" s="5" t="s">
        <v>29</v>
      </c>
      <c r="G476" s="5" t="s">
        <v>30</v>
      </c>
      <c r="H476" s="5">
        <v>200</v>
      </c>
      <c r="I476" s="25">
        <v>716.5</v>
      </c>
      <c r="J476" s="9">
        <v>0</v>
      </c>
      <c r="K476" s="14">
        <v>0</v>
      </c>
      <c r="L476" s="21" t="s">
        <v>177</v>
      </c>
      <c r="M476" s="15">
        <f t="shared" si="12"/>
        <v>143300</v>
      </c>
      <c r="N476" s="21">
        <v>0</v>
      </c>
    </row>
    <row r="477" spans="1:14" x14ac:dyDescent="0.45">
      <c r="A477" s="4">
        <v>45555</v>
      </c>
      <c r="B477" s="4">
        <v>45560</v>
      </c>
      <c r="C477" s="5">
        <v>9348</v>
      </c>
      <c r="D477" s="9" t="s">
        <v>260</v>
      </c>
      <c r="E477" s="5" t="s">
        <v>67</v>
      </c>
      <c r="F477" s="5" t="s">
        <v>29</v>
      </c>
      <c r="G477" s="5" t="s">
        <v>30</v>
      </c>
      <c r="H477" s="5">
        <v>200</v>
      </c>
      <c r="I477" s="25">
        <v>728</v>
      </c>
      <c r="J477" s="9">
        <v>0</v>
      </c>
      <c r="K477" s="14">
        <v>0</v>
      </c>
      <c r="L477" s="21" t="s">
        <v>177</v>
      </c>
      <c r="M477" s="15">
        <f t="shared" si="12"/>
        <v>145600</v>
      </c>
      <c r="N477" s="21">
        <v>0</v>
      </c>
    </row>
    <row r="478" spans="1:14" x14ac:dyDescent="0.45">
      <c r="A478" s="4">
        <v>45559</v>
      </c>
      <c r="B478" s="4">
        <v>45561</v>
      </c>
      <c r="C478" s="5">
        <v>4519</v>
      </c>
      <c r="D478" s="9" t="s">
        <v>200</v>
      </c>
      <c r="E478" s="5" t="s">
        <v>67</v>
      </c>
      <c r="F478" s="5" t="s">
        <v>29</v>
      </c>
      <c r="G478" s="5" t="s">
        <v>30</v>
      </c>
      <c r="H478" s="5">
        <v>100</v>
      </c>
      <c r="I478" s="25">
        <v>7055</v>
      </c>
      <c r="J478" s="9">
        <v>0</v>
      </c>
      <c r="K478" s="14">
        <v>0</v>
      </c>
      <c r="L478" s="21" t="s">
        <v>177</v>
      </c>
      <c r="M478" s="15">
        <f t="shared" si="12"/>
        <v>705500</v>
      </c>
      <c r="N478" s="21">
        <v>0</v>
      </c>
    </row>
    <row r="479" spans="1:14" x14ac:dyDescent="0.45">
      <c r="A479" s="4">
        <v>45559</v>
      </c>
      <c r="B479" s="4">
        <v>45561</v>
      </c>
      <c r="C479" s="5">
        <v>7012</v>
      </c>
      <c r="D479" s="9" t="s">
        <v>183</v>
      </c>
      <c r="E479" s="5" t="s">
        <v>67</v>
      </c>
      <c r="F479" s="5" t="s">
        <v>29</v>
      </c>
      <c r="G479" s="5" t="s">
        <v>30</v>
      </c>
      <c r="H479" s="5">
        <v>100</v>
      </c>
      <c r="I479" s="25">
        <v>5568</v>
      </c>
      <c r="J479" s="9">
        <v>0</v>
      </c>
      <c r="K479" s="14">
        <v>0</v>
      </c>
      <c r="L479" s="21" t="s">
        <v>177</v>
      </c>
      <c r="M479" s="15">
        <f t="shared" si="12"/>
        <v>556800</v>
      </c>
      <c r="N479" s="21">
        <v>0</v>
      </c>
    </row>
    <row r="480" spans="1:14" x14ac:dyDescent="0.45">
      <c r="A480" s="4">
        <v>45561</v>
      </c>
      <c r="B480" s="4">
        <v>45565</v>
      </c>
      <c r="C480" s="5">
        <v>2914</v>
      </c>
      <c r="D480" s="9" t="s">
        <v>107</v>
      </c>
      <c r="E480" s="5" t="s">
        <v>67</v>
      </c>
      <c r="F480" s="5" t="s">
        <v>29</v>
      </c>
      <c r="G480" s="5" t="s">
        <v>176</v>
      </c>
      <c r="H480" s="5">
        <v>100</v>
      </c>
      <c r="I480" s="25">
        <v>4200</v>
      </c>
      <c r="J480" s="9">
        <v>0</v>
      </c>
      <c r="K480" s="14">
        <v>0</v>
      </c>
      <c r="L480" s="21" t="s">
        <v>177</v>
      </c>
      <c r="M480" s="15">
        <f t="shared" si="12"/>
        <v>420000</v>
      </c>
      <c r="N480" s="21">
        <v>0</v>
      </c>
    </row>
    <row r="481" spans="1:14" x14ac:dyDescent="0.45">
      <c r="A481" s="4">
        <v>45565</v>
      </c>
      <c r="B481" s="4">
        <v>45567</v>
      </c>
      <c r="C481" s="5">
        <v>2432</v>
      </c>
      <c r="D481" s="9" t="s">
        <v>246</v>
      </c>
      <c r="E481" s="5" t="s">
        <v>68</v>
      </c>
      <c r="F481" s="5" t="s">
        <v>175</v>
      </c>
      <c r="G481" s="5" t="s">
        <v>176</v>
      </c>
      <c r="H481" s="5">
        <v>100</v>
      </c>
      <c r="I481" s="25">
        <v>1750</v>
      </c>
      <c r="J481" s="9">
        <v>0</v>
      </c>
      <c r="K481" s="14">
        <v>0</v>
      </c>
      <c r="L481" s="21" t="s">
        <v>177</v>
      </c>
      <c r="M481" s="15">
        <f t="shared" si="12"/>
        <v>175000</v>
      </c>
      <c r="N481" s="21">
        <v>0</v>
      </c>
    </row>
    <row r="482" spans="1:14" x14ac:dyDescent="0.45">
      <c r="A482" s="4">
        <v>45567</v>
      </c>
      <c r="B482" s="4">
        <v>45569</v>
      </c>
      <c r="C482" s="5">
        <v>2914</v>
      </c>
      <c r="D482" s="9" t="s">
        <v>107</v>
      </c>
      <c r="E482" s="5" t="s">
        <v>67</v>
      </c>
      <c r="F482" s="5" t="s">
        <v>29</v>
      </c>
      <c r="G482" s="5" t="s">
        <v>178</v>
      </c>
      <c r="H482" s="5">
        <v>100</v>
      </c>
      <c r="I482" s="25">
        <v>4205</v>
      </c>
      <c r="J482" s="9">
        <v>0</v>
      </c>
      <c r="K482" s="14">
        <v>0</v>
      </c>
      <c r="L482" s="19" t="s">
        <v>90</v>
      </c>
      <c r="M482" s="15">
        <f t="shared" si="12"/>
        <v>420500</v>
      </c>
      <c r="N482" s="19">
        <v>500</v>
      </c>
    </row>
    <row r="483" spans="1:14" x14ac:dyDescent="0.45">
      <c r="A483" s="4">
        <v>45567</v>
      </c>
      <c r="B483" s="4">
        <v>45569</v>
      </c>
      <c r="C483" s="5">
        <v>9613</v>
      </c>
      <c r="D483" s="9" t="s">
        <v>250</v>
      </c>
      <c r="E483" s="5" t="s">
        <v>68</v>
      </c>
      <c r="F483" s="5" t="s">
        <v>175</v>
      </c>
      <c r="G483" s="5" t="s">
        <v>178</v>
      </c>
      <c r="H483" s="5">
        <v>100</v>
      </c>
      <c r="I483" s="25">
        <v>2568.5</v>
      </c>
      <c r="J483" s="9">
        <v>0</v>
      </c>
      <c r="K483" s="14">
        <v>0</v>
      </c>
      <c r="L483" s="19" t="s">
        <v>90</v>
      </c>
      <c r="M483" s="15">
        <f t="shared" si="12"/>
        <v>256850</v>
      </c>
      <c r="N483" s="19">
        <v>3350</v>
      </c>
    </row>
    <row r="484" spans="1:14" x14ac:dyDescent="0.45">
      <c r="A484" s="4">
        <v>45568</v>
      </c>
      <c r="B484" s="4">
        <v>45572</v>
      </c>
      <c r="C484" s="5">
        <v>2432</v>
      </c>
      <c r="D484" s="9" t="s">
        <v>246</v>
      </c>
      <c r="E484" s="5" t="s">
        <v>68</v>
      </c>
      <c r="F484" s="5" t="s">
        <v>175</v>
      </c>
      <c r="G484" s="5" t="s">
        <v>176</v>
      </c>
      <c r="H484" s="5">
        <v>100</v>
      </c>
      <c r="I484" s="25">
        <v>1725</v>
      </c>
      <c r="J484" s="9">
        <v>0</v>
      </c>
      <c r="K484" s="14">
        <v>0</v>
      </c>
      <c r="L484" s="21" t="s">
        <v>177</v>
      </c>
      <c r="M484" s="15">
        <f t="shared" si="12"/>
        <v>172500</v>
      </c>
      <c r="N484" s="19">
        <v>0</v>
      </c>
    </row>
    <row r="485" spans="1:14" x14ac:dyDescent="0.45">
      <c r="A485" s="4">
        <v>45572</v>
      </c>
      <c r="B485" s="4">
        <v>45574</v>
      </c>
      <c r="C485" s="5">
        <v>5185</v>
      </c>
      <c r="D485" s="9" t="s">
        <v>261</v>
      </c>
      <c r="E485" s="5" t="s">
        <v>68</v>
      </c>
      <c r="F485" s="5" t="s">
        <v>175</v>
      </c>
      <c r="G485" s="5" t="s">
        <v>176</v>
      </c>
      <c r="H485" s="5">
        <v>100</v>
      </c>
      <c r="I485" s="25">
        <v>1815.9</v>
      </c>
      <c r="J485" s="9">
        <v>0</v>
      </c>
      <c r="K485" s="14">
        <v>0</v>
      </c>
      <c r="L485" s="21" t="s">
        <v>177</v>
      </c>
      <c r="M485" s="15">
        <f t="shared" si="12"/>
        <v>181590</v>
      </c>
      <c r="N485" s="19">
        <v>0</v>
      </c>
    </row>
    <row r="486" spans="1:14" x14ac:dyDescent="0.45">
      <c r="A486" s="4">
        <v>45572</v>
      </c>
      <c r="B486" s="4">
        <v>45574</v>
      </c>
      <c r="C486" s="5">
        <v>8766</v>
      </c>
      <c r="D486" s="9" t="s">
        <v>44</v>
      </c>
      <c r="E486" s="5" t="s">
        <v>68</v>
      </c>
      <c r="F486" s="5" t="s">
        <v>175</v>
      </c>
      <c r="G486" s="5" t="s">
        <v>176</v>
      </c>
      <c r="H486" s="5">
        <v>100</v>
      </c>
      <c r="I486" s="25">
        <v>5810</v>
      </c>
      <c r="J486" s="9">
        <v>0</v>
      </c>
      <c r="K486" s="14">
        <v>0</v>
      </c>
      <c r="L486" s="21" t="s">
        <v>177</v>
      </c>
      <c r="M486" s="15">
        <f t="shared" si="12"/>
        <v>581000</v>
      </c>
      <c r="N486" s="19">
        <v>0</v>
      </c>
    </row>
    <row r="487" spans="1:14" x14ac:dyDescent="0.45">
      <c r="A487" s="4">
        <v>45573</v>
      </c>
      <c r="B487" s="4">
        <v>45575</v>
      </c>
      <c r="C487" s="5">
        <v>8630</v>
      </c>
      <c r="D487" s="9" t="s">
        <v>262</v>
      </c>
      <c r="E487" s="5" t="s">
        <v>68</v>
      </c>
      <c r="F487" s="5" t="s">
        <v>175</v>
      </c>
      <c r="G487" s="5" t="s">
        <v>176</v>
      </c>
      <c r="H487" s="5">
        <v>100</v>
      </c>
      <c r="I487" s="25">
        <v>3282</v>
      </c>
      <c r="J487" s="9">
        <v>0</v>
      </c>
      <c r="K487" s="14">
        <v>0</v>
      </c>
      <c r="L487" s="21" t="s">
        <v>177</v>
      </c>
      <c r="M487" s="15">
        <f t="shared" si="12"/>
        <v>328200</v>
      </c>
      <c r="N487" s="19">
        <v>0</v>
      </c>
    </row>
    <row r="488" spans="1:14" x14ac:dyDescent="0.45">
      <c r="A488" s="4">
        <v>45573</v>
      </c>
      <c r="B488" s="4">
        <v>45575</v>
      </c>
      <c r="C488" s="5">
        <v>9531</v>
      </c>
      <c r="D488" s="9" t="s">
        <v>263</v>
      </c>
      <c r="E488" s="5" t="s">
        <v>68</v>
      </c>
      <c r="F488" s="5" t="s">
        <v>175</v>
      </c>
      <c r="G488" s="5" t="s">
        <v>176</v>
      </c>
      <c r="H488" s="5">
        <v>100</v>
      </c>
      <c r="I488" s="25">
        <v>3391</v>
      </c>
      <c r="J488" s="9">
        <v>0</v>
      </c>
      <c r="K488" s="14">
        <v>0</v>
      </c>
      <c r="L488" s="21" t="s">
        <v>177</v>
      </c>
      <c r="M488" s="15">
        <f t="shared" si="12"/>
        <v>339100</v>
      </c>
      <c r="N488" s="19">
        <v>0</v>
      </c>
    </row>
    <row r="489" spans="1:14" x14ac:dyDescent="0.45">
      <c r="A489" s="4">
        <v>45575</v>
      </c>
      <c r="B489" s="4">
        <v>45580</v>
      </c>
      <c r="C489" s="5">
        <v>3003</v>
      </c>
      <c r="D489" s="9" t="s">
        <v>264</v>
      </c>
      <c r="E489" s="5" t="s">
        <v>68</v>
      </c>
      <c r="F489" s="5" t="s">
        <v>175</v>
      </c>
      <c r="G489" s="5" t="s">
        <v>176</v>
      </c>
      <c r="H489" s="5">
        <v>100</v>
      </c>
      <c r="I489" s="25">
        <v>1452</v>
      </c>
      <c r="J489" s="9">
        <v>0</v>
      </c>
      <c r="K489" s="14">
        <v>0</v>
      </c>
      <c r="L489" s="21" t="s">
        <v>177</v>
      </c>
      <c r="M489" s="15">
        <f t="shared" si="12"/>
        <v>145200</v>
      </c>
      <c r="N489" s="19">
        <v>0</v>
      </c>
    </row>
    <row r="490" spans="1:14" x14ac:dyDescent="0.45">
      <c r="A490" s="4">
        <v>45575</v>
      </c>
      <c r="B490" s="4">
        <v>45580</v>
      </c>
      <c r="C490" s="5">
        <v>7867</v>
      </c>
      <c r="D490" s="9" t="s">
        <v>265</v>
      </c>
      <c r="E490" s="5" t="s">
        <v>68</v>
      </c>
      <c r="F490" s="5" t="s">
        <v>175</v>
      </c>
      <c r="G490" s="5" t="s">
        <v>176</v>
      </c>
      <c r="H490" s="5">
        <v>100</v>
      </c>
      <c r="I490" s="25">
        <v>4004</v>
      </c>
      <c r="J490" s="9">
        <v>0</v>
      </c>
      <c r="K490" s="14">
        <v>0</v>
      </c>
      <c r="L490" s="21" t="s">
        <v>177</v>
      </c>
      <c r="M490" s="15">
        <f t="shared" si="12"/>
        <v>400400</v>
      </c>
      <c r="N490" s="19">
        <v>0</v>
      </c>
    </row>
    <row r="491" spans="1:14" x14ac:dyDescent="0.45">
      <c r="A491" s="4">
        <v>45576</v>
      </c>
      <c r="B491" s="4">
        <v>45581</v>
      </c>
      <c r="C491" s="5">
        <v>9101</v>
      </c>
      <c r="D491" s="9" t="s">
        <v>94</v>
      </c>
      <c r="E491" s="5" t="s">
        <v>68</v>
      </c>
      <c r="F491" s="5" t="s">
        <v>175</v>
      </c>
      <c r="G491" s="5" t="s">
        <v>176</v>
      </c>
      <c r="H491" s="5">
        <v>100</v>
      </c>
      <c r="I491" s="25">
        <v>4889</v>
      </c>
      <c r="J491" s="9">
        <v>0</v>
      </c>
      <c r="K491" s="14">
        <v>0</v>
      </c>
      <c r="L491" s="21" t="s">
        <v>177</v>
      </c>
      <c r="M491" s="15">
        <f t="shared" si="12"/>
        <v>488900</v>
      </c>
      <c r="N491" s="19">
        <v>0</v>
      </c>
    </row>
    <row r="492" spans="1:14" x14ac:dyDescent="0.45">
      <c r="A492" s="4">
        <v>45576</v>
      </c>
      <c r="B492" s="4">
        <v>45581</v>
      </c>
      <c r="C492" s="5">
        <v>2432</v>
      </c>
      <c r="D492" s="9" t="s">
        <v>246</v>
      </c>
      <c r="E492" s="5" t="s">
        <v>68</v>
      </c>
      <c r="F492" s="5" t="s">
        <v>175</v>
      </c>
      <c r="G492" s="5" t="s">
        <v>176</v>
      </c>
      <c r="H492" s="5">
        <v>100</v>
      </c>
      <c r="I492" s="25">
        <v>1773.5</v>
      </c>
      <c r="J492" s="9">
        <v>0</v>
      </c>
      <c r="K492" s="14">
        <v>0</v>
      </c>
      <c r="L492" s="21" t="s">
        <v>177</v>
      </c>
      <c r="M492" s="15">
        <f t="shared" si="12"/>
        <v>177350</v>
      </c>
      <c r="N492" s="19">
        <v>0</v>
      </c>
    </row>
    <row r="493" spans="1:14" x14ac:dyDescent="0.45">
      <c r="A493" s="4">
        <v>45576</v>
      </c>
      <c r="B493" s="4">
        <v>45581</v>
      </c>
      <c r="C493" s="5">
        <v>7012</v>
      </c>
      <c r="D493" s="9" t="s">
        <v>183</v>
      </c>
      <c r="E493" s="5" t="s">
        <v>68</v>
      </c>
      <c r="F493" s="5" t="s">
        <v>175</v>
      </c>
      <c r="G493" s="5" t="s">
        <v>178</v>
      </c>
      <c r="H493" s="5">
        <v>100</v>
      </c>
      <c r="I493" s="25">
        <v>6508</v>
      </c>
      <c r="J493" s="9">
        <v>0</v>
      </c>
      <c r="K493" s="14">
        <v>0</v>
      </c>
      <c r="L493" s="19" t="s">
        <v>90</v>
      </c>
      <c r="M493" s="15">
        <f t="shared" si="12"/>
        <v>650800</v>
      </c>
      <c r="N493" s="19">
        <v>94000</v>
      </c>
    </row>
    <row r="494" spans="1:14" x14ac:dyDescent="0.45">
      <c r="A494" s="4">
        <v>45580</v>
      </c>
      <c r="B494" s="4">
        <v>45582</v>
      </c>
      <c r="C494" s="5">
        <v>2201</v>
      </c>
      <c r="D494" s="9" t="s">
        <v>266</v>
      </c>
      <c r="E494" s="5" t="s">
        <v>68</v>
      </c>
      <c r="F494" s="5" t="s">
        <v>175</v>
      </c>
      <c r="G494" s="5" t="s">
        <v>176</v>
      </c>
      <c r="H494" s="5">
        <v>100</v>
      </c>
      <c r="I494" s="25">
        <v>2890</v>
      </c>
      <c r="J494" s="9">
        <v>0</v>
      </c>
      <c r="K494" s="14">
        <v>0</v>
      </c>
      <c r="L494" s="21" t="s">
        <v>177</v>
      </c>
      <c r="M494" s="15">
        <f t="shared" si="12"/>
        <v>289000</v>
      </c>
      <c r="N494" s="21">
        <v>0</v>
      </c>
    </row>
    <row r="495" spans="1:14" x14ac:dyDescent="0.45">
      <c r="A495" s="4">
        <v>45580</v>
      </c>
      <c r="B495" s="4">
        <v>45582</v>
      </c>
      <c r="C495" s="5">
        <v>8316</v>
      </c>
      <c r="D495" s="9" t="s">
        <v>228</v>
      </c>
      <c r="E495" s="5" t="s">
        <v>68</v>
      </c>
      <c r="F495" s="5" t="s">
        <v>175</v>
      </c>
      <c r="G495" s="5" t="s">
        <v>176</v>
      </c>
      <c r="H495" s="5">
        <v>100</v>
      </c>
      <c r="I495" s="25">
        <v>3233</v>
      </c>
      <c r="J495" s="9">
        <v>0</v>
      </c>
      <c r="K495" s="14">
        <v>0</v>
      </c>
      <c r="L495" s="21" t="s">
        <v>177</v>
      </c>
      <c r="M495" s="15">
        <f t="shared" si="12"/>
        <v>323300</v>
      </c>
      <c r="N495" s="21">
        <v>0</v>
      </c>
    </row>
    <row r="496" spans="1:14" x14ac:dyDescent="0.45">
      <c r="A496" s="4">
        <v>45580</v>
      </c>
      <c r="B496" s="4">
        <v>45582</v>
      </c>
      <c r="C496" s="5">
        <v>9984</v>
      </c>
      <c r="D496" s="9" t="s">
        <v>267</v>
      </c>
      <c r="E496" s="5" t="s">
        <v>68</v>
      </c>
      <c r="F496" s="5" t="s">
        <v>175</v>
      </c>
      <c r="G496" s="5" t="s">
        <v>176</v>
      </c>
      <c r="H496" s="5">
        <v>100</v>
      </c>
      <c r="I496" s="25">
        <v>9493.5</v>
      </c>
      <c r="J496" s="9">
        <v>0</v>
      </c>
      <c r="K496" s="14">
        <v>0</v>
      </c>
      <c r="L496" s="21" t="s">
        <v>177</v>
      </c>
      <c r="M496" s="15">
        <f t="shared" si="12"/>
        <v>949350</v>
      </c>
      <c r="N496" s="21">
        <v>0</v>
      </c>
    </row>
    <row r="497" spans="1:14" x14ac:dyDescent="0.45">
      <c r="A497" s="4">
        <v>45581</v>
      </c>
      <c r="B497" s="4">
        <v>45583</v>
      </c>
      <c r="C497" s="5">
        <v>1911</v>
      </c>
      <c r="D497" s="9" t="s">
        <v>196</v>
      </c>
      <c r="E497" s="5" t="s">
        <v>68</v>
      </c>
      <c r="F497" s="5" t="s">
        <v>175</v>
      </c>
      <c r="G497" s="5" t="s">
        <v>176</v>
      </c>
      <c r="H497" s="5">
        <v>100</v>
      </c>
      <c r="I497" s="25">
        <v>6160</v>
      </c>
      <c r="J497" s="9">
        <v>0</v>
      </c>
      <c r="K497" s="14">
        <v>0</v>
      </c>
      <c r="L497" s="21" t="s">
        <v>177</v>
      </c>
      <c r="M497" s="15">
        <f t="shared" si="12"/>
        <v>616000</v>
      </c>
      <c r="N497" s="21">
        <v>0</v>
      </c>
    </row>
    <row r="498" spans="1:14" x14ac:dyDescent="0.45">
      <c r="A498" s="4">
        <v>45583</v>
      </c>
      <c r="B498" s="4">
        <v>45587</v>
      </c>
      <c r="C498" s="5">
        <v>7974</v>
      </c>
      <c r="D498" s="9" t="s">
        <v>174</v>
      </c>
      <c r="E498" s="5" t="s">
        <v>68</v>
      </c>
      <c r="F498" s="5" t="s">
        <v>175</v>
      </c>
      <c r="G498" s="5" t="s">
        <v>176</v>
      </c>
      <c r="H498" s="5">
        <v>100</v>
      </c>
      <c r="I498" s="25">
        <v>8020</v>
      </c>
      <c r="J498" s="9">
        <v>0</v>
      </c>
      <c r="K498" s="14">
        <v>0</v>
      </c>
      <c r="L498" s="21" t="s">
        <v>177</v>
      </c>
      <c r="M498" s="15">
        <f t="shared" si="12"/>
        <v>802000</v>
      </c>
      <c r="N498" s="21">
        <v>0</v>
      </c>
    </row>
    <row r="499" spans="1:14" x14ac:dyDescent="0.45">
      <c r="A499" s="4">
        <v>45586</v>
      </c>
      <c r="B499" s="4">
        <v>45588</v>
      </c>
      <c r="C499" s="5">
        <v>8418</v>
      </c>
      <c r="D499" s="9" t="s">
        <v>268</v>
      </c>
      <c r="E499" s="5" t="s">
        <v>68</v>
      </c>
      <c r="F499" s="5" t="s">
        <v>175</v>
      </c>
      <c r="G499" s="5" t="s">
        <v>176</v>
      </c>
      <c r="H499" s="5">
        <v>100</v>
      </c>
      <c r="I499" s="25">
        <v>1549.5</v>
      </c>
      <c r="J499" s="9">
        <v>0</v>
      </c>
      <c r="K499" s="14">
        <v>0</v>
      </c>
      <c r="L499" s="21" t="s">
        <v>177</v>
      </c>
      <c r="M499" s="15">
        <f t="shared" ref="M499:M530" si="13">IF(G499="買付",H499*I499+SUM(J499:K499),H499*I499-SUM(J499:K499))</f>
        <v>154950</v>
      </c>
      <c r="N499" s="21">
        <v>0</v>
      </c>
    </row>
    <row r="500" spans="1:14" x14ac:dyDescent="0.45">
      <c r="A500" s="4">
        <v>45586</v>
      </c>
      <c r="B500" s="4">
        <v>45588</v>
      </c>
      <c r="C500" s="5">
        <v>9107</v>
      </c>
      <c r="D500" s="9" t="s">
        <v>269</v>
      </c>
      <c r="E500" s="5" t="s">
        <v>68</v>
      </c>
      <c r="F500" s="5" t="s">
        <v>175</v>
      </c>
      <c r="G500" s="5" t="s">
        <v>176</v>
      </c>
      <c r="H500" s="5">
        <v>200</v>
      </c>
      <c r="I500" s="25">
        <v>2155.5</v>
      </c>
      <c r="J500" s="9">
        <v>0</v>
      </c>
      <c r="K500" s="14">
        <v>0</v>
      </c>
      <c r="L500" s="21" t="s">
        <v>177</v>
      </c>
      <c r="M500" s="15">
        <f t="shared" si="13"/>
        <v>431100</v>
      </c>
      <c r="N500" s="21">
        <v>0</v>
      </c>
    </row>
    <row r="501" spans="1:14" x14ac:dyDescent="0.45">
      <c r="A501" s="4">
        <v>45587</v>
      </c>
      <c r="B501" s="4">
        <v>45589</v>
      </c>
      <c r="C501" s="5">
        <v>3003</v>
      </c>
      <c r="D501" s="9" t="s">
        <v>264</v>
      </c>
      <c r="E501" s="5" t="s">
        <v>68</v>
      </c>
      <c r="F501" s="5" t="s">
        <v>175</v>
      </c>
      <c r="G501" s="5" t="s">
        <v>176</v>
      </c>
      <c r="H501" s="5">
        <v>100</v>
      </c>
      <c r="I501" s="25">
        <v>1408</v>
      </c>
      <c r="J501" s="9">
        <v>0</v>
      </c>
      <c r="K501" s="14">
        <v>0</v>
      </c>
      <c r="L501" s="21" t="s">
        <v>177</v>
      </c>
      <c r="M501" s="15">
        <f t="shared" si="13"/>
        <v>140800</v>
      </c>
      <c r="N501" s="21">
        <v>0</v>
      </c>
    </row>
    <row r="502" spans="1:14" x14ac:dyDescent="0.45">
      <c r="A502" s="4">
        <v>45587</v>
      </c>
      <c r="B502" s="4">
        <v>45589</v>
      </c>
      <c r="C502" s="5">
        <v>9602</v>
      </c>
      <c r="D502" s="9" t="s">
        <v>131</v>
      </c>
      <c r="E502" s="5" t="s">
        <v>67</v>
      </c>
      <c r="F502" s="5" t="s">
        <v>29</v>
      </c>
      <c r="G502" s="5" t="s">
        <v>30</v>
      </c>
      <c r="H502" s="5">
        <v>100</v>
      </c>
      <c r="I502" s="25">
        <v>5821</v>
      </c>
      <c r="J502" s="9">
        <v>0</v>
      </c>
      <c r="K502" s="14">
        <v>0</v>
      </c>
      <c r="L502" s="21" t="s">
        <v>177</v>
      </c>
      <c r="M502" s="15">
        <f t="shared" si="13"/>
        <v>582100</v>
      </c>
      <c r="N502" s="21">
        <v>0</v>
      </c>
    </row>
    <row r="503" spans="1:14" x14ac:dyDescent="0.45">
      <c r="A503" s="4">
        <v>45593</v>
      </c>
      <c r="B503" s="4">
        <v>45595</v>
      </c>
      <c r="C503" s="5">
        <v>4519</v>
      </c>
      <c r="D503" s="9" t="s">
        <v>200</v>
      </c>
      <c r="E503" s="5" t="s">
        <v>67</v>
      </c>
      <c r="F503" s="5" t="s">
        <v>29</v>
      </c>
      <c r="G503" s="5" t="s">
        <v>178</v>
      </c>
      <c r="H503" s="5">
        <v>100</v>
      </c>
      <c r="I503" s="25">
        <v>7830</v>
      </c>
      <c r="J503" s="9">
        <v>0</v>
      </c>
      <c r="K503" s="14">
        <v>0</v>
      </c>
      <c r="L503" s="19" t="s">
        <v>90</v>
      </c>
      <c r="M503" s="15">
        <f t="shared" si="13"/>
        <v>783000</v>
      </c>
      <c r="N503" s="19">
        <v>77500</v>
      </c>
    </row>
    <row r="504" spans="1:14" x14ac:dyDescent="0.45">
      <c r="A504" s="4">
        <v>45594</v>
      </c>
      <c r="B504" s="4">
        <v>45596</v>
      </c>
      <c r="C504" s="5">
        <v>2914</v>
      </c>
      <c r="D504" s="9" t="s">
        <v>107</v>
      </c>
      <c r="E504" s="5" t="s">
        <v>67</v>
      </c>
      <c r="F504" s="5" t="s">
        <v>29</v>
      </c>
      <c r="G504" s="5" t="s">
        <v>176</v>
      </c>
      <c r="H504" s="5">
        <v>100</v>
      </c>
      <c r="I504" s="25">
        <v>4197</v>
      </c>
      <c r="J504" s="9">
        <v>0</v>
      </c>
      <c r="K504" s="14">
        <v>0</v>
      </c>
      <c r="L504" s="21" t="s">
        <v>177</v>
      </c>
      <c r="M504" s="15">
        <f t="shared" si="13"/>
        <v>419700</v>
      </c>
      <c r="N504" s="21">
        <v>0</v>
      </c>
    </row>
    <row r="505" spans="1:14" x14ac:dyDescent="0.45">
      <c r="A505" s="4">
        <v>45594</v>
      </c>
      <c r="B505" s="4">
        <v>45596</v>
      </c>
      <c r="C505" s="5">
        <v>9101</v>
      </c>
      <c r="D505" s="9" t="s">
        <v>94</v>
      </c>
      <c r="E505" s="5" t="s">
        <v>68</v>
      </c>
      <c r="F505" s="5" t="s">
        <v>175</v>
      </c>
      <c r="G505" s="5" t="s">
        <v>178</v>
      </c>
      <c r="H505" s="5">
        <v>100</v>
      </c>
      <c r="I505" s="25">
        <v>5066</v>
      </c>
      <c r="J505" s="9">
        <v>0</v>
      </c>
      <c r="K505" s="14">
        <v>0</v>
      </c>
      <c r="L505" s="19" t="s">
        <v>90</v>
      </c>
      <c r="M505" s="15">
        <f t="shared" si="13"/>
        <v>506600</v>
      </c>
      <c r="N505" s="19">
        <v>17700</v>
      </c>
    </row>
    <row r="506" spans="1:14" x14ac:dyDescent="0.45">
      <c r="A506" s="4">
        <v>45595</v>
      </c>
      <c r="B506" s="4">
        <v>45597</v>
      </c>
      <c r="C506" s="5">
        <v>5393</v>
      </c>
      <c r="D506" s="9" t="s">
        <v>190</v>
      </c>
      <c r="E506" s="5" t="s">
        <v>67</v>
      </c>
      <c r="F506" s="5" t="s">
        <v>29</v>
      </c>
      <c r="G506" s="5" t="s">
        <v>176</v>
      </c>
      <c r="H506" s="5">
        <v>100</v>
      </c>
      <c r="I506" s="25">
        <v>5475</v>
      </c>
      <c r="J506" s="9">
        <v>0</v>
      </c>
      <c r="K506" s="14">
        <v>0</v>
      </c>
      <c r="L506" s="21" t="s">
        <v>177</v>
      </c>
      <c r="M506" s="15">
        <f t="shared" si="13"/>
        <v>547500</v>
      </c>
      <c r="N506" s="21">
        <v>0</v>
      </c>
    </row>
    <row r="507" spans="1:14" x14ac:dyDescent="0.45">
      <c r="A507" s="4">
        <v>45595</v>
      </c>
      <c r="B507" s="4">
        <v>45597</v>
      </c>
      <c r="C507" s="5">
        <v>2737</v>
      </c>
      <c r="D507" s="9" t="s">
        <v>270</v>
      </c>
      <c r="E507" s="5" t="s">
        <v>67</v>
      </c>
      <c r="F507" s="5" t="s">
        <v>29</v>
      </c>
      <c r="G507" s="5" t="s">
        <v>176</v>
      </c>
      <c r="H507" s="5">
        <v>100</v>
      </c>
      <c r="I507" s="25">
        <v>6273</v>
      </c>
      <c r="J507" s="9">
        <v>0</v>
      </c>
      <c r="K507" s="14">
        <v>0</v>
      </c>
      <c r="L507" s="21" t="s">
        <v>177</v>
      </c>
      <c r="M507" s="15">
        <f t="shared" si="13"/>
        <v>627300</v>
      </c>
      <c r="N507" s="21">
        <v>0</v>
      </c>
    </row>
    <row r="508" spans="1:14" x14ac:dyDescent="0.45">
      <c r="A508" s="4">
        <v>45596</v>
      </c>
      <c r="B508" s="4">
        <v>45601</v>
      </c>
      <c r="C508" s="5">
        <v>7012</v>
      </c>
      <c r="D508" s="9" t="s">
        <v>183</v>
      </c>
      <c r="E508" s="5" t="s">
        <v>68</v>
      </c>
      <c r="F508" s="5" t="s">
        <v>175</v>
      </c>
      <c r="G508" s="5" t="s">
        <v>176</v>
      </c>
      <c r="H508" s="5">
        <v>100</v>
      </c>
      <c r="I508" s="25">
        <v>5955</v>
      </c>
      <c r="J508" s="9">
        <v>0</v>
      </c>
      <c r="K508" s="14">
        <v>0</v>
      </c>
      <c r="L508" s="21" t="s">
        <v>177</v>
      </c>
      <c r="M508" s="15">
        <f t="shared" si="13"/>
        <v>595500</v>
      </c>
      <c r="N508" s="21">
        <v>0</v>
      </c>
    </row>
    <row r="509" spans="1:14" x14ac:dyDescent="0.45">
      <c r="A509" s="4">
        <v>45596</v>
      </c>
      <c r="B509" s="4">
        <v>45601</v>
      </c>
      <c r="C509" s="5">
        <v>1928</v>
      </c>
      <c r="D509" s="9" t="s">
        <v>222</v>
      </c>
      <c r="E509" s="5" t="s">
        <v>68</v>
      </c>
      <c r="F509" s="5" t="s">
        <v>175</v>
      </c>
      <c r="G509" s="5" t="s">
        <v>176</v>
      </c>
      <c r="H509" s="5">
        <v>100</v>
      </c>
      <c r="I509" s="25">
        <v>3737</v>
      </c>
      <c r="J509" s="9">
        <v>0</v>
      </c>
      <c r="K509" s="14">
        <v>0</v>
      </c>
      <c r="L509" s="21" t="s">
        <v>177</v>
      </c>
      <c r="M509" s="15">
        <f t="shared" si="13"/>
        <v>373700</v>
      </c>
      <c r="N509" s="21">
        <v>0</v>
      </c>
    </row>
    <row r="510" spans="1:14" x14ac:dyDescent="0.45">
      <c r="A510" s="4">
        <v>45597</v>
      </c>
      <c r="B510" s="4">
        <v>45602</v>
      </c>
      <c r="C510" s="5">
        <v>2432</v>
      </c>
      <c r="D510" s="9" t="s">
        <v>246</v>
      </c>
      <c r="E510" s="5" t="s">
        <v>68</v>
      </c>
      <c r="F510" s="5" t="s">
        <v>175</v>
      </c>
      <c r="G510" s="5" t="s">
        <v>178</v>
      </c>
      <c r="H510" s="5">
        <v>200</v>
      </c>
      <c r="I510" s="25">
        <v>1831</v>
      </c>
      <c r="J510" s="9">
        <v>0</v>
      </c>
      <c r="K510" s="14">
        <v>0</v>
      </c>
      <c r="L510" s="19" t="s">
        <v>90</v>
      </c>
      <c r="M510" s="15">
        <f t="shared" si="13"/>
        <v>366200</v>
      </c>
      <c r="N510" s="19">
        <f>8100*2</f>
        <v>16200</v>
      </c>
    </row>
    <row r="511" spans="1:14" x14ac:dyDescent="0.45">
      <c r="A511" s="4">
        <v>45597</v>
      </c>
      <c r="B511" s="4">
        <v>45602</v>
      </c>
      <c r="C511" s="5">
        <v>2432</v>
      </c>
      <c r="D511" s="9" t="s">
        <v>246</v>
      </c>
      <c r="E511" s="5" t="s">
        <v>68</v>
      </c>
      <c r="F511" s="5" t="s">
        <v>175</v>
      </c>
      <c r="G511" s="5" t="s">
        <v>178</v>
      </c>
      <c r="H511" s="5">
        <v>100</v>
      </c>
      <c r="I511" s="25">
        <v>1824</v>
      </c>
      <c r="J511" s="9">
        <v>0</v>
      </c>
      <c r="K511" s="14">
        <v>0</v>
      </c>
      <c r="L511" s="19" t="s">
        <v>90</v>
      </c>
      <c r="M511" s="15">
        <f t="shared" si="13"/>
        <v>182400</v>
      </c>
      <c r="N511" s="19">
        <v>7400</v>
      </c>
    </row>
    <row r="512" spans="1:14" x14ac:dyDescent="0.45">
      <c r="A512" s="4">
        <v>45597</v>
      </c>
      <c r="B512" s="4">
        <v>45602</v>
      </c>
      <c r="C512" s="5">
        <v>5021</v>
      </c>
      <c r="D512" s="9" t="s">
        <v>280</v>
      </c>
      <c r="E512" s="5" t="s">
        <v>68</v>
      </c>
      <c r="F512" s="5" t="s">
        <v>175</v>
      </c>
      <c r="G512" s="5" t="s">
        <v>176</v>
      </c>
      <c r="H512" s="5">
        <v>100</v>
      </c>
      <c r="I512" s="25">
        <v>7533</v>
      </c>
      <c r="J512" s="9">
        <v>0</v>
      </c>
      <c r="K512" s="9">
        <v>0</v>
      </c>
      <c r="L512" s="9" t="s">
        <v>271</v>
      </c>
      <c r="M512" s="15">
        <f t="shared" si="13"/>
        <v>753300</v>
      </c>
      <c r="N512" s="19">
        <v>0</v>
      </c>
    </row>
    <row r="513" spans="1:14" x14ac:dyDescent="0.45">
      <c r="A513" s="4">
        <v>45597</v>
      </c>
      <c r="B513" s="4">
        <v>45602</v>
      </c>
      <c r="C513" s="5">
        <v>7974</v>
      </c>
      <c r="D513" s="9" t="s">
        <v>174</v>
      </c>
      <c r="E513" s="5" t="s">
        <v>68</v>
      </c>
      <c r="F513" s="5" t="s">
        <v>175</v>
      </c>
      <c r="G513" s="5" t="s">
        <v>176</v>
      </c>
      <c r="H513" s="5">
        <v>100</v>
      </c>
      <c r="I513" s="25">
        <v>8003</v>
      </c>
      <c r="J513" s="9">
        <v>0</v>
      </c>
      <c r="K513" s="9">
        <v>0</v>
      </c>
      <c r="L513" s="9" t="s">
        <v>271</v>
      </c>
      <c r="M513" s="15">
        <f t="shared" si="13"/>
        <v>800300</v>
      </c>
      <c r="N513" s="19">
        <v>0</v>
      </c>
    </row>
    <row r="514" spans="1:14" x14ac:dyDescent="0.45">
      <c r="A514" s="4">
        <v>45601</v>
      </c>
      <c r="B514" s="4">
        <v>45603</v>
      </c>
      <c r="C514" s="5">
        <v>8630</v>
      </c>
      <c r="D514" s="9" t="s">
        <v>262</v>
      </c>
      <c r="E514" s="5" t="s">
        <v>68</v>
      </c>
      <c r="F514" s="5" t="s">
        <v>175</v>
      </c>
      <c r="G514" s="5" t="s">
        <v>178</v>
      </c>
      <c r="H514" s="5">
        <v>100</v>
      </c>
      <c r="I514" s="25">
        <v>3296</v>
      </c>
      <c r="J514" s="9">
        <v>0</v>
      </c>
      <c r="K514" s="14">
        <v>0</v>
      </c>
      <c r="L514" s="19" t="s">
        <v>90</v>
      </c>
      <c r="M514" s="15">
        <f t="shared" si="13"/>
        <v>329600</v>
      </c>
      <c r="N514" s="19">
        <v>1400</v>
      </c>
    </row>
    <row r="515" spans="1:14" x14ac:dyDescent="0.45">
      <c r="A515" s="4">
        <v>45601</v>
      </c>
      <c r="B515" s="4">
        <v>45603</v>
      </c>
      <c r="C515" s="5">
        <v>7012</v>
      </c>
      <c r="D515" s="9" t="s">
        <v>183</v>
      </c>
      <c r="E515" s="5" t="s">
        <v>68</v>
      </c>
      <c r="F515" s="5" t="s">
        <v>175</v>
      </c>
      <c r="G515" s="5" t="s">
        <v>178</v>
      </c>
      <c r="H515" s="5">
        <v>200</v>
      </c>
      <c r="I515" s="25">
        <v>2159</v>
      </c>
      <c r="J515" s="9">
        <v>0</v>
      </c>
      <c r="K515" s="14">
        <v>0</v>
      </c>
      <c r="L515" s="19" t="s">
        <v>90</v>
      </c>
      <c r="M515" s="15">
        <f t="shared" si="13"/>
        <v>431800</v>
      </c>
      <c r="N515" s="19">
        <v>600</v>
      </c>
    </row>
    <row r="516" spans="1:14" x14ac:dyDescent="0.45">
      <c r="A516" s="4">
        <v>45601</v>
      </c>
      <c r="B516" s="4">
        <v>45603</v>
      </c>
      <c r="C516" s="5">
        <v>9531</v>
      </c>
      <c r="D516" s="9" t="s">
        <v>263</v>
      </c>
      <c r="E516" s="5" t="s">
        <v>68</v>
      </c>
      <c r="F516" s="5" t="s">
        <v>175</v>
      </c>
      <c r="G516" s="5" t="s">
        <v>178</v>
      </c>
      <c r="H516" s="5">
        <v>100</v>
      </c>
      <c r="I516" s="25">
        <v>3721</v>
      </c>
      <c r="J516" s="9">
        <v>0</v>
      </c>
      <c r="K516" s="14">
        <v>0</v>
      </c>
      <c r="L516" s="19" t="s">
        <v>90</v>
      </c>
      <c r="M516" s="15">
        <f t="shared" si="13"/>
        <v>372100</v>
      </c>
      <c r="N516" s="19">
        <v>33000</v>
      </c>
    </row>
    <row r="517" spans="1:14" x14ac:dyDescent="0.45">
      <c r="A517" s="4">
        <v>45604</v>
      </c>
      <c r="B517" s="4">
        <v>45608</v>
      </c>
      <c r="C517" s="5">
        <v>2914</v>
      </c>
      <c r="D517" s="9" t="s">
        <v>107</v>
      </c>
      <c r="E517" s="5" t="s">
        <v>67</v>
      </c>
      <c r="F517" s="5" t="s">
        <v>29</v>
      </c>
      <c r="G517" s="5" t="s">
        <v>176</v>
      </c>
      <c r="H517" s="5">
        <v>100</v>
      </c>
      <c r="I517" s="25">
        <v>4220</v>
      </c>
      <c r="J517" s="9">
        <v>0</v>
      </c>
      <c r="K517" s="14">
        <v>0</v>
      </c>
      <c r="L517" s="21" t="s">
        <v>272</v>
      </c>
      <c r="M517" s="15">
        <f t="shared" si="13"/>
        <v>422000</v>
      </c>
      <c r="N517" s="19">
        <v>0</v>
      </c>
    </row>
    <row r="518" spans="1:14" x14ac:dyDescent="0.45">
      <c r="A518" s="4">
        <v>45604</v>
      </c>
      <c r="B518" s="4">
        <v>45608</v>
      </c>
      <c r="C518" s="5">
        <v>3003</v>
      </c>
      <c r="D518" s="9" t="s">
        <v>264</v>
      </c>
      <c r="E518" s="5" t="s">
        <v>68</v>
      </c>
      <c r="F518" s="5" t="s">
        <v>175</v>
      </c>
      <c r="G518" s="5" t="s">
        <v>178</v>
      </c>
      <c r="H518" s="5">
        <v>200</v>
      </c>
      <c r="I518" s="25">
        <v>1460</v>
      </c>
      <c r="J518" s="9">
        <v>0</v>
      </c>
      <c r="K518" s="14">
        <v>0</v>
      </c>
      <c r="L518" s="19" t="s">
        <v>90</v>
      </c>
      <c r="M518" s="15">
        <f t="shared" si="13"/>
        <v>292000</v>
      </c>
      <c r="N518" s="19">
        <f>3000*2</f>
        <v>6000</v>
      </c>
    </row>
    <row r="519" spans="1:14" x14ac:dyDescent="0.45">
      <c r="A519" s="4">
        <v>45604</v>
      </c>
      <c r="B519" s="4">
        <v>45608</v>
      </c>
      <c r="C519" s="5">
        <v>7012</v>
      </c>
      <c r="D519" s="9" t="s">
        <v>183</v>
      </c>
      <c r="E519" s="5" t="s">
        <v>68</v>
      </c>
      <c r="F519" s="5" t="s">
        <v>175</v>
      </c>
      <c r="G519" s="5" t="s">
        <v>178</v>
      </c>
      <c r="H519" s="5">
        <v>100</v>
      </c>
      <c r="I519" s="25">
        <v>7015</v>
      </c>
      <c r="J519" s="9">
        <v>0</v>
      </c>
      <c r="K519" s="14">
        <v>0</v>
      </c>
      <c r="L519" s="19" t="s">
        <v>90</v>
      </c>
      <c r="M519" s="15">
        <f t="shared" si="13"/>
        <v>701500</v>
      </c>
      <c r="N519" s="19">
        <v>106000</v>
      </c>
    </row>
    <row r="520" spans="1:14" x14ac:dyDescent="0.45">
      <c r="A520" s="4">
        <v>45604</v>
      </c>
      <c r="B520" s="4">
        <v>45608</v>
      </c>
      <c r="C520" s="5">
        <v>7974</v>
      </c>
      <c r="D520" s="9" t="s">
        <v>174</v>
      </c>
      <c r="E520" s="5" t="s">
        <v>68</v>
      </c>
      <c r="F520" s="5" t="s">
        <v>175</v>
      </c>
      <c r="G520" s="5" t="s">
        <v>178</v>
      </c>
      <c r="H520" s="5">
        <v>200</v>
      </c>
      <c r="I520" s="25">
        <v>8176</v>
      </c>
      <c r="J520" s="9">
        <v>0</v>
      </c>
      <c r="K520" s="14">
        <v>0</v>
      </c>
      <c r="L520" s="19" t="s">
        <v>90</v>
      </c>
      <c r="M520" s="15">
        <f t="shared" si="13"/>
        <v>1635200</v>
      </c>
      <c r="N520" s="19">
        <f>16400*2</f>
        <v>32800</v>
      </c>
    </row>
    <row r="521" spans="1:14" x14ac:dyDescent="0.45">
      <c r="A521" s="4">
        <v>45604</v>
      </c>
      <c r="B521" s="4">
        <v>45608</v>
      </c>
      <c r="C521" s="5">
        <v>8418</v>
      </c>
      <c r="D521" s="9" t="s">
        <v>268</v>
      </c>
      <c r="E521" s="5" t="s">
        <v>68</v>
      </c>
      <c r="F521" s="5" t="s">
        <v>175</v>
      </c>
      <c r="G521" s="5" t="s">
        <v>178</v>
      </c>
      <c r="H521" s="5">
        <v>100</v>
      </c>
      <c r="I521" s="25">
        <v>1628</v>
      </c>
      <c r="J521" s="9">
        <v>0</v>
      </c>
      <c r="K521" s="14">
        <v>0</v>
      </c>
      <c r="L521" s="19" t="s">
        <v>90</v>
      </c>
      <c r="M521" s="15">
        <f t="shared" si="13"/>
        <v>162800</v>
      </c>
      <c r="N521" s="19">
        <v>7800</v>
      </c>
    </row>
    <row r="522" spans="1:14" x14ac:dyDescent="0.45">
      <c r="A522" s="4">
        <v>45604</v>
      </c>
      <c r="B522" s="4">
        <v>45608</v>
      </c>
      <c r="C522" s="5">
        <v>8766</v>
      </c>
      <c r="D522" s="9" t="s">
        <v>44</v>
      </c>
      <c r="E522" s="5" t="s">
        <v>68</v>
      </c>
      <c r="F522" s="5" t="s">
        <v>175</v>
      </c>
      <c r="G522" s="5" t="s">
        <v>178</v>
      </c>
      <c r="H522" s="5">
        <v>100</v>
      </c>
      <c r="I522" s="25">
        <v>5952</v>
      </c>
      <c r="J522" s="9">
        <v>0</v>
      </c>
      <c r="K522" s="14">
        <v>0</v>
      </c>
      <c r="L522" s="19" t="s">
        <v>90</v>
      </c>
      <c r="M522" s="15">
        <f t="shared" si="13"/>
        <v>595200</v>
      </c>
      <c r="N522" s="19">
        <v>14200</v>
      </c>
    </row>
    <row r="523" spans="1:14" x14ac:dyDescent="0.45">
      <c r="A523" s="4">
        <v>45604</v>
      </c>
      <c r="B523" s="4">
        <v>45608</v>
      </c>
      <c r="C523" s="5">
        <v>9602</v>
      </c>
      <c r="D523" s="9" t="s">
        <v>131</v>
      </c>
      <c r="E523" s="5" t="s">
        <v>68</v>
      </c>
      <c r="F523" s="5" t="s">
        <v>175</v>
      </c>
      <c r="G523" s="5" t="s">
        <v>178</v>
      </c>
      <c r="H523" s="5">
        <v>100</v>
      </c>
      <c r="I523" s="25">
        <v>6138</v>
      </c>
      <c r="J523" s="9">
        <v>0</v>
      </c>
      <c r="K523" s="14">
        <v>0</v>
      </c>
      <c r="L523" s="19" t="s">
        <v>90</v>
      </c>
      <c r="M523" s="15">
        <f t="shared" si="13"/>
        <v>613800</v>
      </c>
      <c r="N523" s="19">
        <v>31700</v>
      </c>
    </row>
    <row r="524" spans="1:14" x14ac:dyDescent="0.45">
      <c r="A524" s="4">
        <v>45607</v>
      </c>
      <c r="B524" s="4">
        <v>45609</v>
      </c>
      <c r="C524" s="5">
        <v>4519</v>
      </c>
      <c r="D524" s="9" t="s">
        <v>200</v>
      </c>
      <c r="E524" s="5" t="s">
        <v>67</v>
      </c>
      <c r="F524" s="5" t="s">
        <v>29</v>
      </c>
      <c r="G524" s="5" t="s">
        <v>30</v>
      </c>
      <c r="H524" s="5">
        <v>100</v>
      </c>
      <c r="I524" s="25">
        <v>7313</v>
      </c>
      <c r="J524" s="9">
        <v>0</v>
      </c>
      <c r="K524" s="14">
        <v>0</v>
      </c>
      <c r="L524" s="21" t="s">
        <v>273</v>
      </c>
      <c r="M524" s="15">
        <f t="shared" si="13"/>
        <v>731300</v>
      </c>
      <c r="N524" s="21">
        <v>0</v>
      </c>
    </row>
    <row r="525" spans="1:14" x14ac:dyDescent="0.45">
      <c r="A525" s="4">
        <v>45607</v>
      </c>
      <c r="B525" s="4">
        <v>45609</v>
      </c>
      <c r="C525" s="5">
        <v>9101</v>
      </c>
      <c r="D525" s="9" t="s">
        <v>94</v>
      </c>
      <c r="E525" s="5" t="s">
        <v>67</v>
      </c>
      <c r="F525" s="5" t="s">
        <v>29</v>
      </c>
      <c r="G525" s="5" t="s">
        <v>30</v>
      </c>
      <c r="H525" s="5">
        <v>100</v>
      </c>
      <c r="I525" s="25">
        <v>4890</v>
      </c>
      <c r="J525" s="9">
        <v>0</v>
      </c>
      <c r="K525" s="14">
        <v>0</v>
      </c>
      <c r="L525" s="21" t="s">
        <v>273</v>
      </c>
      <c r="M525" s="15">
        <f t="shared" si="13"/>
        <v>489000</v>
      </c>
      <c r="N525" s="21">
        <v>0</v>
      </c>
    </row>
    <row r="526" spans="1:14" x14ac:dyDescent="0.45">
      <c r="A526" s="4">
        <v>45609</v>
      </c>
      <c r="B526" s="4">
        <v>45611</v>
      </c>
      <c r="C526" s="5">
        <v>7974</v>
      </c>
      <c r="D526" s="9" t="s">
        <v>174</v>
      </c>
      <c r="E526" s="5" t="s">
        <v>68</v>
      </c>
      <c r="F526" s="5" t="s">
        <v>175</v>
      </c>
      <c r="G526" s="5" t="s">
        <v>30</v>
      </c>
      <c r="H526" s="5">
        <v>100</v>
      </c>
      <c r="I526" s="25">
        <v>8070</v>
      </c>
      <c r="J526" s="9">
        <v>0</v>
      </c>
      <c r="K526" s="14">
        <v>0</v>
      </c>
      <c r="L526" s="21" t="s">
        <v>274</v>
      </c>
      <c r="M526" s="15">
        <f t="shared" si="13"/>
        <v>807000</v>
      </c>
      <c r="N526" s="21">
        <v>0</v>
      </c>
    </row>
    <row r="527" spans="1:14" x14ac:dyDescent="0.45">
      <c r="A527" s="4">
        <v>45611</v>
      </c>
      <c r="B527" s="4">
        <v>45615</v>
      </c>
      <c r="C527" s="5">
        <v>2432</v>
      </c>
      <c r="D527" s="9" t="s">
        <v>246</v>
      </c>
      <c r="E527" s="5" t="s">
        <v>68</v>
      </c>
      <c r="F527" s="5" t="s">
        <v>175</v>
      </c>
      <c r="G527" s="5" t="s">
        <v>30</v>
      </c>
      <c r="H527" s="5">
        <v>100</v>
      </c>
      <c r="I527" s="25">
        <v>2269</v>
      </c>
      <c r="J527" s="9">
        <v>0</v>
      </c>
      <c r="K527" s="14">
        <v>0</v>
      </c>
      <c r="L527" s="21" t="s">
        <v>274</v>
      </c>
      <c r="M527" s="15">
        <f t="shared" si="13"/>
        <v>226900</v>
      </c>
      <c r="N527" s="21">
        <v>0</v>
      </c>
    </row>
    <row r="528" spans="1:14" x14ac:dyDescent="0.45">
      <c r="A528" s="4">
        <v>45611</v>
      </c>
      <c r="B528" s="4">
        <v>45615</v>
      </c>
      <c r="C528" s="5">
        <v>8698</v>
      </c>
      <c r="D528" s="9" t="s">
        <v>275</v>
      </c>
      <c r="E528" s="5" t="s">
        <v>68</v>
      </c>
      <c r="F528" s="5" t="s">
        <v>175</v>
      </c>
      <c r="G528" s="5" t="s">
        <v>30</v>
      </c>
      <c r="H528" s="5">
        <v>100</v>
      </c>
      <c r="I528" s="25">
        <v>913.5</v>
      </c>
      <c r="J528" s="9">
        <v>0</v>
      </c>
      <c r="K528" s="14">
        <v>0</v>
      </c>
      <c r="L528" s="21" t="s">
        <v>274</v>
      </c>
      <c r="M528" s="15">
        <f t="shared" si="13"/>
        <v>91350</v>
      </c>
      <c r="N528" s="21">
        <v>0</v>
      </c>
    </row>
    <row r="529" spans="1:14" x14ac:dyDescent="0.45">
      <c r="A529" s="4">
        <v>45614</v>
      </c>
      <c r="B529" s="4">
        <v>45616</v>
      </c>
      <c r="C529" s="5">
        <v>4324</v>
      </c>
      <c r="D529" s="9" t="s">
        <v>182</v>
      </c>
      <c r="E529" s="5" t="s">
        <v>68</v>
      </c>
      <c r="F529" s="5" t="s">
        <v>175</v>
      </c>
      <c r="G529" s="5" t="s">
        <v>30</v>
      </c>
      <c r="H529" s="5">
        <v>100</v>
      </c>
      <c r="I529" s="25">
        <v>3700</v>
      </c>
      <c r="J529" s="9">
        <v>0</v>
      </c>
      <c r="K529" s="14">
        <v>0</v>
      </c>
      <c r="L529" s="21" t="s">
        <v>274</v>
      </c>
      <c r="M529" s="15">
        <f t="shared" si="13"/>
        <v>370000</v>
      </c>
      <c r="N529" s="21">
        <v>0</v>
      </c>
    </row>
    <row r="530" spans="1:14" x14ac:dyDescent="0.45">
      <c r="A530" s="4">
        <v>45614</v>
      </c>
      <c r="B530" s="4">
        <v>45616</v>
      </c>
      <c r="C530" s="5">
        <v>5393</v>
      </c>
      <c r="D530" s="9" t="s">
        <v>190</v>
      </c>
      <c r="E530" s="5" t="s">
        <v>67</v>
      </c>
      <c r="F530" s="5" t="s">
        <v>29</v>
      </c>
      <c r="G530" s="5" t="s">
        <v>178</v>
      </c>
      <c r="H530" s="5">
        <v>100</v>
      </c>
      <c r="I530" s="25">
        <v>5880</v>
      </c>
      <c r="J530" s="9">
        <v>0</v>
      </c>
      <c r="K530" s="14">
        <v>0</v>
      </c>
      <c r="L530" s="19" t="s">
        <v>90</v>
      </c>
      <c r="M530" s="15">
        <f t="shared" si="13"/>
        <v>588000</v>
      </c>
      <c r="N530" s="19">
        <v>40500</v>
      </c>
    </row>
    <row r="531" spans="1:14" x14ac:dyDescent="0.45">
      <c r="A531" s="4">
        <v>45615</v>
      </c>
      <c r="B531" s="4">
        <v>45617</v>
      </c>
      <c r="C531" s="5">
        <v>8698</v>
      </c>
      <c r="D531" s="9" t="s">
        <v>275</v>
      </c>
      <c r="E531" s="5" t="s">
        <v>68</v>
      </c>
      <c r="F531" s="5" t="s">
        <v>175</v>
      </c>
      <c r="G531" s="5" t="s">
        <v>30</v>
      </c>
      <c r="H531" s="5">
        <v>100</v>
      </c>
      <c r="I531" s="25">
        <v>987.5</v>
      </c>
      <c r="J531" s="9">
        <v>0</v>
      </c>
      <c r="K531" s="14">
        <v>0</v>
      </c>
      <c r="L531" s="21" t="s">
        <v>274</v>
      </c>
      <c r="M531" s="15">
        <f t="shared" ref="M531:M594" si="14">IF(G531="買付",H531*I531+SUM(J531:K531),H531*I531-SUM(J531:K531))</f>
        <v>98750</v>
      </c>
      <c r="N531" s="21">
        <v>0</v>
      </c>
    </row>
    <row r="532" spans="1:14" x14ac:dyDescent="0.45">
      <c r="A532" s="4">
        <v>45615</v>
      </c>
      <c r="B532" s="4">
        <v>45617</v>
      </c>
      <c r="C532" s="5">
        <v>2432</v>
      </c>
      <c r="D532" s="9" t="s">
        <v>246</v>
      </c>
      <c r="E532" s="5" t="s">
        <v>68</v>
      </c>
      <c r="F532" s="5" t="s">
        <v>175</v>
      </c>
      <c r="G532" s="5" t="s">
        <v>30</v>
      </c>
      <c r="H532" s="5">
        <v>100</v>
      </c>
      <c r="I532" s="25">
        <v>2368</v>
      </c>
      <c r="J532" s="9">
        <v>0</v>
      </c>
      <c r="K532" s="14">
        <v>0</v>
      </c>
      <c r="L532" s="21" t="s">
        <v>274</v>
      </c>
      <c r="M532" s="15">
        <f t="shared" si="14"/>
        <v>236800</v>
      </c>
      <c r="N532" s="21">
        <v>0</v>
      </c>
    </row>
    <row r="533" spans="1:14" x14ac:dyDescent="0.45">
      <c r="A533" s="4">
        <v>45615</v>
      </c>
      <c r="B533" s="4">
        <v>45617</v>
      </c>
      <c r="C533" s="5">
        <v>7867</v>
      </c>
      <c r="D533" s="9" t="s">
        <v>265</v>
      </c>
      <c r="E533" s="5" t="s">
        <v>68</v>
      </c>
      <c r="F533" s="5" t="s">
        <v>175</v>
      </c>
      <c r="G533" s="5" t="s">
        <v>30</v>
      </c>
      <c r="H533" s="5">
        <v>100</v>
      </c>
      <c r="I533" s="25">
        <v>4068</v>
      </c>
      <c r="J533" s="9">
        <v>0</v>
      </c>
      <c r="K533" s="14">
        <v>0</v>
      </c>
      <c r="L533" s="21" t="s">
        <v>274</v>
      </c>
      <c r="M533" s="15">
        <f t="shared" si="14"/>
        <v>406800</v>
      </c>
      <c r="N533" s="21">
        <v>0</v>
      </c>
    </row>
    <row r="534" spans="1:14" x14ac:dyDescent="0.45">
      <c r="A534" s="4">
        <v>45616</v>
      </c>
      <c r="B534" s="4">
        <v>45618</v>
      </c>
      <c r="C534" s="5">
        <v>2432</v>
      </c>
      <c r="D534" s="9" t="s">
        <v>246</v>
      </c>
      <c r="E534" s="5" t="s">
        <v>68</v>
      </c>
      <c r="F534" s="5" t="s">
        <v>175</v>
      </c>
      <c r="G534" s="5" t="s">
        <v>30</v>
      </c>
      <c r="H534" s="5">
        <v>100</v>
      </c>
      <c r="I534" s="25">
        <v>2399</v>
      </c>
      <c r="J534" s="9">
        <v>0</v>
      </c>
      <c r="K534" s="14">
        <v>0</v>
      </c>
      <c r="L534" s="21" t="s">
        <v>177</v>
      </c>
      <c r="M534" s="15">
        <f t="shared" si="14"/>
        <v>239900</v>
      </c>
      <c r="N534" s="19">
        <v>0</v>
      </c>
    </row>
    <row r="535" spans="1:14" x14ac:dyDescent="0.45">
      <c r="A535" s="4">
        <v>45616</v>
      </c>
      <c r="B535" s="4">
        <v>45618</v>
      </c>
      <c r="C535" s="5">
        <v>7012</v>
      </c>
      <c r="D535" s="9" t="s">
        <v>183</v>
      </c>
      <c r="E535" s="5" t="s">
        <v>68</v>
      </c>
      <c r="F535" s="5" t="s">
        <v>175</v>
      </c>
      <c r="G535" s="5" t="s">
        <v>30</v>
      </c>
      <c r="H535" s="5">
        <v>100</v>
      </c>
      <c r="I535" s="25">
        <v>6433</v>
      </c>
      <c r="J535" s="9">
        <v>0</v>
      </c>
      <c r="K535" s="14">
        <v>0</v>
      </c>
      <c r="L535" s="21" t="s">
        <v>177</v>
      </c>
      <c r="M535" s="15">
        <f t="shared" si="14"/>
        <v>643300</v>
      </c>
      <c r="N535" s="19">
        <v>0</v>
      </c>
    </row>
    <row r="536" spans="1:14" x14ac:dyDescent="0.45">
      <c r="A536" s="4">
        <v>45616</v>
      </c>
      <c r="B536" s="4">
        <v>45618</v>
      </c>
      <c r="C536" s="5">
        <v>8698</v>
      </c>
      <c r="D536" s="9" t="s">
        <v>275</v>
      </c>
      <c r="E536" s="5" t="s">
        <v>68</v>
      </c>
      <c r="F536" s="5" t="s">
        <v>175</v>
      </c>
      <c r="G536" s="5" t="s">
        <v>30</v>
      </c>
      <c r="H536" s="5">
        <v>100</v>
      </c>
      <c r="I536" s="25">
        <v>989</v>
      </c>
      <c r="J536" s="9">
        <v>0</v>
      </c>
      <c r="K536" s="14">
        <v>0</v>
      </c>
      <c r="L536" s="21" t="s">
        <v>177</v>
      </c>
      <c r="M536" s="15">
        <f t="shared" si="14"/>
        <v>98900</v>
      </c>
      <c r="N536" s="19">
        <v>0</v>
      </c>
    </row>
    <row r="537" spans="1:14" x14ac:dyDescent="0.45">
      <c r="A537" s="4">
        <v>45617</v>
      </c>
      <c r="B537" s="4">
        <v>45621</v>
      </c>
      <c r="C537" s="5">
        <v>6524</v>
      </c>
      <c r="D537" s="9" t="s">
        <v>279</v>
      </c>
      <c r="E537" s="5" t="s">
        <v>68</v>
      </c>
      <c r="F537" s="5" t="s">
        <v>175</v>
      </c>
      <c r="G537" s="5" t="s">
        <v>30</v>
      </c>
      <c r="H537" s="5">
        <v>100</v>
      </c>
      <c r="I537" s="25">
        <v>3453</v>
      </c>
      <c r="J537" s="9">
        <v>0</v>
      </c>
      <c r="K537" s="14">
        <v>0</v>
      </c>
      <c r="L537" s="21" t="s">
        <v>177</v>
      </c>
      <c r="M537" s="15">
        <f t="shared" si="14"/>
        <v>345300</v>
      </c>
      <c r="N537" s="19">
        <v>0</v>
      </c>
    </row>
    <row r="538" spans="1:14" x14ac:dyDescent="0.45">
      <c r="A538" s="4">
        <v>45617</v>
      </c>
      <c r="B538" s="4">
        <v>45621</v>
      </c>
      <c r="C538" s="5">
        <v>8766</v>
      </c>
      <c r="D538" s="9" t="s">
        <v>44</v>
      </c>
      <c r="E538" s="5" t="s">
        <v>68</v>
      </c>
      <c r="F538" s="5" t="s">
        <v>175</v>
      </c>
      <c r="G538" s="5" t="s">
        <v>30</v>
      </c>
      <c r="H538" s="5">
        <v>100</v>
      </c>
      <c r="I538" s="25">
        <v>5645</v>
      </c>
      <c r="J538" s="9">
        <v>0</v>
      </c>
      <c r="K538" s="14">
        <v>0</v>
      </c>
      <c r="L538" s="21" t="s">
        <v>177</v>
      </c>
      <c r="M538" s="15">
        <f t="shared" si="14"/>
        <v>564500</v>
      </c>
      <c r="N538" s="19">
        <v>0</v>
      </c>
    </row>
    <row r="539" spans="1:14" x14ac:dyDescent="0.45">
      <c r="A539" s="4">
        <v>45621</v>
      </c>
      <c r="B539" s="4">
        <v>45623</v>
      </c>
      <c r="C539" s="5">
        <v>2737</v>
      </c>
      <c r="D539" s="9" t="s">
        <v>270</v>
      </c>
      <c r="E539" s="5" t="s">
        <v>68</v>
      </c>
      <c r="F539" s="5" t="s">
        <v>175</v>
      </c>
      <c r="G539" s="5" t="s">
        <v>178</v>
      </c>
      <c r="H539" s="5">
        <v>100</v>
      </c>
      <c r="I539" s="25">
        <v>6730</v>
      </c>
      <c r="J539" s="9">
        <v>0</v>
      </c>
      <c r="K539" s="14">
        <v>0</v>
      </c>
      <c r="L539" s="19" t="s">
        <v>90</v>
      </c>
      <c r="M539" s="15">
        <f t="shared" si="14"/>
        <v>673000</v>
      </c>
      <c r="N539" s="19">
        <v>45700</v>
      </c>
    </row>
    <row r="540" spans="1:14" x14ac:dyDescent="0.45">
      <c r="A540" s="4">
        <v>45629</v>
      </c>
      <c r="B540" s="4">
        <v>45631</v>
      </c>
      <c r="C540" s="5">
        <v>2432</v>
      </c>
      <c r="D540" s="9" t="s">
        <v>246</v>
      </c>
      <c r="E540" s="5" t="s">
        <v>68</v>
      </c>
      <c r="F540" s="5" t="s">
        <v>175</v>
      </c>
      <c r="G540" s="5" t="s">
        <v>178</v>
      </c>
      <c r="H540" s="5">
        <v>300</v>
      </c>
      <c r="I540" s="25">
        <v>2458</v>
      </c>
      <c r="J540" s="9">
        <v>0</v>
      </c>
      <c r="K540" s="14">
        <v>0</v>
      </c>
      <c r="L540" s="19" t="s">
        <v>90</v>
      </c>
      <c r="M540" s="15">
        <f t="shared" si="14"/>
        <v>737400</v>
      </c>
      <c r="N540" s="19">
        <f>11200*3</f>
        <v>33600</v>
      </c>
    </row>
    <row r="541" spans="1:14" x14ac:dyDescent="0.45">
      <c r="A541" s="4">
        <v>45629</v>
      </c>
      <c r="B541" s="4">
        <v>45631</v>
      </c>
      <c r="C541" s="5">
        <v>2914</v>
      </c>
      <c r="D541" s="9" t="s">
        <v>107</v>
      </c>
      <c r="E541" s="5" t="s">
        <v>68</v>
      </c>
      <c r="F541" s="5" t="s">
        <v>175</v>
      </c>
      <c r="G541" s="5" t="s">
        <v>178</v>
      </c>
      <c r="H541" s="5">
        <v>100</v>
      </c>
      <c r="I541" s="25">
        <v>4240</v>
      </c>
      <c r="J541" s="9">
        <v>0</v>
      </c>
      <c r="K541" s="14">
        <v>0</v>
      </c>
      <c r="L541" s="19" t="s">
        <v>90</v>
      </c>
      <c r="M541" s="15">
        <f t="shared" si="14"/>
        <v>424000</v>
      </c>
      <c r="N541" s="19">
        <v>3100</v>
      </c>
    </row>
    <row r="542" spans="1:14" x14ac:dyDescent="0.45">
      <c r="A542" s="4">
        <v>45629</v>
      </c>
      <c r="B542" s="4">
        <v>45631</v>
      </c>
      <c r="C542" s="5">
        <v>6524</v>
      </c>
      <c r="D542" s="9" t="s">
        <v>279</v>
      </c>
      <c r="E542" s="5" t="s">
        <v>68</v>
      </c>
      <c r="F542" s="5" t="s">
        <v>175</v>
      </c>
      <c r="G542" s="5" t="s">
        <v>178</v>
      </c>
      <c r="H542" s="5">
        <v>100</v>
      </c>
      <c r="I542" s="25">
        <v>3465</v>
      </c>
      <c r="J542" s="9">
        <v>0</v>
      </c>
      <c r="K542" s="14">
        <v>0</v>
      </c>
      <c r="L542" s="19" t="s">
        <v>90</v>
      </c>
      <c r="M542" s="15">
        <f t="shared" si="14"/>
        <v>346500</v>
      </c>
      <c r="N542" s="19">
        <v>1200</v>
      </c>
    </row>
    <row r="543" spans="1:14" x14ac:dyDescent="0.45">
      <c r="A543" s="4">
        <v>45629</v>
      </c>
      <c r="B543" s="4">
        <v>45631</v>
      </c>
      <c r="C543" s="5">
        <v>7867</v>
      </c>
      <c r="D543" s="9" t="s">
        <v>265</v>
      </c>
      <c r="E543" s="5" t="s">
        <v>68</v>
      </c>
      <c r="F543" s="5" t="s">
        <v>175</v>
      </c>
      <c r="G543" s="5" t="s">
        <v>178</v>
      </c>
      <c r="H543" s="5">
        <v>200</v>
      </c>
      <c r="I543" s="25">
        <v>4395</v>
      </c>
      <c r="J543" s="9">
        <v>0</v>
      </c>
      <c r="K543" s="14">
        <v>0</v>
      </c>
      <c r="L543" s="19" t="s">
        <v>90</v>
      </c>
      <c r="M543" s="15">
        <f t="shared" si="14"/>
        <v>879000</v>
      </c>
      <c r="N543" s="19">
        <f>35900*2</f>
        <v>71800</v>
      </c>
    </row>
    <row r="544" spans="1:14" x14ac:dyDescent="0.45">
      <c r="A544" s="4">
        <v>45629</v>
      </c>
      <c r="B544" s="4">
        <v>45631</v>
      </c>
      <c r="C544" s="5">
        <v>7974</v>
      </c>
      <c r="D544" s="9" t="s">
        <v>174</v>
      </c>
      <c r="E544" s="5" t="s">
        <v>68</v>
      </c>
      <c r="F544" s="5" t="s">
        <v>175</v>
      </c>
      <c r="G544" s="5" t="s">
        <v>178</v>
      </c>
      <c r="H544" s="5">
        <v>100</v>
      </c>
      <c r="I544" s="25">
        <v>8970</v>
      </c>
      <c r="J544" s="9">
        <v>0</v>
      </c>
      <c r="K544" s="14">
        <v>0</v>
      </c>
      <c r="L544" s="19" t="s">
        <v>90</v>
      </c>
      <c r="M544" s="15">
        <f t="shared" si="14"/>
        <v>897000</v>
      </c>
      <c r="N544" s="19">
        <v>90000</v>
      </c>
    </row>
    <row r="545" spans="1:14" x14ac:dyDescent="0.45">
      <c r="A545" s="4">
        <v>45629</v>
      </c>
      <c r="B545" s="4">
        <v>45631</v>
      </c>
      <c r="C545" s="5">
        <v>8316</v>
      </c>
      <c r="D545" s="9" t="s">
        <v>228</v>
      </c>
      <c r="E545" s="5" t="s">
        <v>68</v>
      </c>
      <c r="F545" s="5" t="s">
        <v>175</v>
      </c>
      <c r="G545" s="5" t="s">
        <v>178</v>
      </c>
      <c r="H545" s="5">
        <v>100</v>
      </c>
      <c r="I545" s="25">
        <v>3874</v>
      </c>
      <c r="J545" s="9">
        <v>0</v>
      </c>
      <c r="K545" s="14">
        <v>0</v>
      </c>
      <c r="L545" s="19" t="s">
        <v>90</v>
      </c>
      <c r="M545" s="15">
        <f t="shared" si="14"/>
        <v>387400</v>
      </c>
      <c r="N545" s="19">
        <v>64100</v>
      </c>
    </row>
    <row r="546" spans="1:14" x14ac:dyDescent="0.45">
      <c r="A546" s="4">
        <v>45629</v>
      </c>
      <c r="B546" s="4">
        <v>45631</v>
      </c>
      <c r="C546" s="5">
        <v>9101</v>
      </c>
      <c r="D546" s="9" t="s">
        <v>94</v>
      </c>
      <c r="E546" s="5" t="s">
        <v>68</v>
      </c>
      <c r="F546" s="5" t="s">
        <v>175</v>
      </c>
      <c r="G546" s="5" t="s">
        <v>178</v>
      </c>
      <c r="H546" s="5">
        <v>100</v>
      </c>
      <c r="I546" s="25">
        <v>5015</v>
      </c>
      <c r="J546" s="9">
        <v>0</v>
      </c>
      <c r="K546" s="14">
        <v>0</v>
      </c>
      <c r="L546" s="19" t="s">
        <v>90</v>
      </c>
      <c r="M546" s="15">
        <f t="shared" si="14"/>
        <v>501500</v>
      </c>
      <c r="N546" s="19">
        <v>12500</v>
      </c>
    </row>
    <row r="547" spans="1:14" x14ac:dyDescent="0.45">
      <c r="A547" s="4">
        <v>45630</v>
      </c>
      <c r="B547" s="4">
        <v>45632</v>
      </c>
      <c r="C547" s="5">
        <v>9602</v>
      </c>
      <c r="D547" s="9" t="s">
        <v>131</v>
      </c>
      <c r="E547" s="5" t="s">
        <v>68</v>
      </c>
      <c r="F547" s="5" t="s">
        <v>175</v>
      </c>
      <c r="G547" s="5" t="s">
        <v>30</v>
      </c>
      <c r="H547" s="5">
        <v>100</v>
      </c>
      <c r="I547" s="25">
        <v>6585</v>
      </c>
      <c r="J547" s="9">
        <v>0</v>
      </c>
      <c r="K547" s="14">
        <v>0</v>
      </c>
      <c r="L547" s="21" t="s">
        <v>281</v>
      </c>
      <c r="M547" s="15">
        <f t="shared" si="14"/>
        <v>658500</v>
      </c>
      <c r="N547" s="19">
        <v>0</v>
      </c>
    </row>
    <row r="548" spans="1:14" x14ac:dyDescent="0.45">
      <c r="A548" s="4">
        <v>45643</v>
      </c>
      <c r="B548" s="4">
        <v>45645</v>
      </c>
      <c r="C548" s="5">
        <v>6254</v>
      </c>
      <c r="D548" s="9" t="s">
        <v>254</v>
      </c>
      <c r="E548" s="5" t="s">
        <v>67</v>
      </c>
      <c r="F548" s="5" t="s">
        <v>29</v>
      </c>
      <c r="G548" s="5" t="s">
        <v>178</v>
      </c>
      <c r="H548" s="5">
        <v>100</v>
      </c>
      <c r="I548" s="25">
        <v>1576.8</v>
      </c>
      <c r="J548" s="9">
        <v>0</v>
      </c>
      <c r="K548" s="14">
        <v>0</v>
      </c>
      <c r="L548" s="19" t="s">
        <v>90</v>
      </c>
      <c r="M548" s="15">
        <f t="shared" si="14"/>
        <v>157680</v>
      </c>
      <c r="N548" s="19">
        <v>-372320</v>
      </c>
    </row>
    <row r="549" spans="1:14" x14ac:dyDescent="0.45">
      <c r="A549" s="4">
        <v>45643</v>
      </c>
      <c r="B549" s="4">
        <v>45645</v>
      </c>
      <c r="C549" s="5">
        <v>8306</v>
      </c>
      <c r="D549" s="9" t="s">
        <v>285</v>
      </c>
      <c r="E549" s="5" t="s">
        <v>68</v>
      </c>
      <c r="F549" s="5" t="s">
        <v>175</v>
      </c>
      <c r="G549" s="5" t="s">
        <v>287</v>
      </c>
      <c r="H549" s="5">
        <v>200</v>
      </c>
      <c r="I549" s="25">
        <v>1820</v>
      </c>
      <c r="J549" s="9">
        <v>0</v>
      </c>
      <c r="K549" s="14">
        <v>0</v>
      </c>
      <c r="L549" s="21" t="s">
        <v>286</v>
      </c>
      <c r="M549" s="15">
        <f t="shared" si="14"/>
        <v>364000</v>
      </c>
      <c r="N549" s="19">
        <v>0</v>
      </c>
    </row>
    <row r="550" spans="1:14" x14ac:dyDescent="0.45">
      <c r="A550" s="4">
        <v>45645</v>
      </c>
      <c r="B550" s="4">
        <v>45649</v>
      </c>
      <c r="C550" s="5">
        <v>8698</v>
      </c>
      <c r="D550" s="9" t="s">
        <v>275</v>
      </c>
      <c r="E550" s="5" t="s">
        <v>68</v>
      </c>
      <c r="F550" s="5" t="s">
        <v>175</v>
      </c>
      <c r="G550" s="5" t="s">
        <v>178</v>
      </c>
      <c r="H550" s="5">
        <v>300</v>
      </c>
      <c r="I550" s="25">
        <v>972</v>
      </c>
      <c r="J550" s="9">
        <v>0</v>
      </c>
      <c r="K550" s="14">
        <v>0</v>
      </c>
      <c r="L550" s="19" t="s">
        <v>90</v>
      </c>
      <c r="M550" s="15">
        <f t="shared" si="14"/>
        <v>291600</v>
      </c>
      <c r="N550" s="19">
        <f>800*3</f>
        <v>2400</v>
      </c>
    </row>
    <row r="551" spans="1:14" x14ac:dyDescent="0.45">
      <c r="A551" s="4">
        <v>45650</v>
      </c>
      <c r="B551" s="4">
        <v>45652</v>
      </c>
      <c r="C551" s="5">
        <v>4324</v>
      </c>
      <c r="D551" s="6" t="s">
        <v>45</v>
      </c>
      <c r="E551" s="5" t="s">
        <v>68</v>
      </c>
      <c r="F551" s="5" t="s">
        <v>175</v>
      </c>
      <c r="G551" s="5" t="s">
        <v>178</v>
      </c>
      <c r="H551" s="5">
        <v>100</v>
      </c>
      <c r="I551" s="25">
        <v>3885</v>
      </c>
      <c r="J551" s="9">
        <v>0</v>
      </c>
      <c r="K551" s="14">
        <v>0</v>
      </c>
      <c r="L551" s="19" t="s">
        <v>90</v>
      </c>
      <c r="M551" s="15">
        <f t="shared" si="14"/>
        <v>388500</v>
      </c>
      <c r="N551" s="19">
        <v>18500</v>
      </c>
    </row>
    <row r="552" spans="1:14" x14ac:dyDescent="0.45">
      <c r="A552" s="4">
        <v>45651</v>
      </c>
      <c r="B552" s="4">
        <v>45653</v>
      </c>
      <c r="C552" s="5">
        <v>7012</v>
      </c>
      <c r="D552" s="9" t="s">
        <v>183</v>
      </c>
      <c r="E552" s="5" t="s">
        <v>68</v>
      </c>
      <c r="F552" s="5" t="s">
        <v>175</v>
      </c>
      <c r="G552" s="5" t="s">
        <v>178</v>
      </c>
      <c r="H552" s="5">
        <v>100</v>
      </c>
      <c r="I552" s="25">
        <v>7066</v>
      </c>
      <c r="J552" s="9">
        <v>0</v>
      </c>
      <c r="K552" s="14">
        <v>0</v>
      </c>
      <c r="L552" s="19" t="s">
        <v>90</v>
      </c>
      <c r="M552" s="15">
        <f t="shared" si="14"/>
        <v>706600</v>
      </c>
      <c r="N552" s="19">
        <v>63300</v>
      </c>
    </row>
    <row r="553" spans="1:14" x14ac:dyDescent="0.45">
      <c r="A553" s="4">
        <v>45653</v>
      </c>
      <c r="B553" s="4">
        <v>45664</v>
      </c>
      <c r="C553" s="5">
        <v>7011</v>
      </c>
      <c r="D553" s="9" t="s">
        <v>290</v>
      </c>
      <c r="E553" s="5" t="s">
        <v>68</v>
      </c>
      <c r="F553" s="5" t="s">
        <v>175</v>
      </c>
      <c r="G553" s="5" t="s">
        <v>178</v>
      </c>
      <c r="H553" s="5">
        <v>500</v>
      </c>
      <c r="I553" s="25">
        <v>2265.5</v>
      </c>
      <c r="J553" s="9">
        <v>0</v>
      </c>
      <c r="K553" s="14">
        <v>0</v>
      </c>
      <c r="L553" s="19" t="s">
        <v>90</v>
      </c>
      <c r="M553" s="15">
        <f t="shared" si="14"/>
        <v>1132750</v>
      </c>
      <c r="N553" s="19">
        <v>21250</v>
      </c>
    </row>
    <row r="554" spans="1:14" x14ac:dyDescent="0.45">
      <c r="A554" s="4">
        <v>45656</v>
      </c>
      <c r="B554" s="4">
        <v>45664</v>
      </c>
      <c r="C554" s="5">
        <v>2432</v>
      </c>
      <c r="D554" s="9" t="s">
        <v>246</v>
      </c>
      <c r="E554" s="5" t="s">
        <v>68</v>
      </c>
      <c r="F554" s="5" t="s">
        <v>175</v>
      </c>
      <c r="G554" s="5" t="s">
        <v>30</v>
      </c>
      <c r="H554" s="5">
        <v>100</v>
      </c>
      <c r="I554" s="25">
        <v>3170</v>
      </c>
      <c r="J554" s="9">
        <v>0</v>
      </c>
      <c r="K554" s="14">
        <v>0</v>
      </c>
      <c r="L554" s="21" t="s">
        <v>288</v>
      </c>
      <c r="M554" s="15">
        <f t="shared" si="14"/>
        <v>317000</v>
      </c>
      <c r="N554" s="19">
        <v>0</v>
      </c>
    </row>
    <row r="555" spans="1:14" x14ac:dyDescent="0.45">
      <c r="A555" s="4">
        <v>45656</v>
      </c>
      <c r="B555" s="4">
        <v>45663</v>
      </c>
      <c r="C555" s="5">
        <v>7011</v>
      </c>
      <c r="D555" s="9" t="s">
        <v>290</v>
      </c>
      <c r="E555" s="5" t="s">
        <v>68</v>
      </c>
      <c r="F555" s="5"/>
      <c r="G555" s="5" t="s">
        <v>231</v>
      </c>
      <c r="H555" s="5">
        <v>500</v>
      </c>
      <c r="I555" s="25">
        <v>2223</v>
      </c>
      <c r="J555" s="9">
        <v>0</v>
      </c>
      <c r="K555" s="14">
        <v>0</v>
      </c>
      <c r="L555" s="21" t="s">
        <v>288</v>
      </c>
      <c r="M555" s="15">
        <v>0</v>
      </c>
      <c r="N555" s="19">
        <v>0</v>
      </c>
    </row>
    <row r="556" spans="1:14" x14ac:dyDescent="0.45">
      <c r="A556" s="4">
        <v>45656</v>
      </c>
      <c r="B556" s="4">
        <v>45664</v>
      </c>
      <c r="C556" s="5">
        <v>7203</v>
      </c>
      <c r="D556" s="9" t="s">
        <v>243</v>
      </c>
      <c r="E556" s="5" t="s">
        <v>68</v>
      </c>
      <c r="F556" s="5" t="s">
        <v>175</v>
      </c>
      <c r="G556" s="5" t="s">
        <v>30</v>
      </c>
      <c r="H556" s="5">
        <v>100</v>
      </c>
      <c r="I556" s="25">
        <v>3140</v>
      </c>
      <c r="J556" s="9">
        <v>0</v>
      </c>
      <c r="K556" s="14">
        <v>0</v>
      </c>
      <c r="L556" s="21" t="s">
        <v>288</v>
      </c>
      <c r="M556" s="15">
        <f t="shared" si="14"/>
        <v>314000</v>
      </c>
      <c r="N556" s="19">
        <v>0</v>
      </c>
    </row>
    <row r="557" spans="1:14" x14ac:dyDescent="0.45">
      <c r="A557" s="4">
        <v>45656</v>
      </c>
      <c r="B557" s="4">
        <v>45663</v>
      </c>
      <c r="C557" s="5">
        <v>7751</v>
      </c>
      <c r="D557" s="6" t="s">
        <v>35</v>
      </c>
      <c r="E557" s="5" t="s">
        <v>68</v>
      </c>
      <c r="F557" s="5"/>
      <c r="G557" s="5" t="s">
        <v>231</v>
      </c>
      <c r="H557" s="5">
        <v>100</v>
      </c>
      <c r="I557" s="25">
        <v>5161</v>
      </c>
      <c r="J557" s="9">
        <v>0</v>
      </c>
      <c r="K557" s="9">
        <v>0</v>
      </c>
      <c r="L557" s="9" t="s">
        <v>288</v>
      </c>
      <c r="M557" s="15">
        <v>0</v>
      </c>
      <c r="N557" s="19">
        <v>0</v>
      </c>
    </row>
    <row r="558" spans="1:14" x14ac:dyDescent="0.45">
      <c r="A558" s="4">
        <v>45656</v>
      </c>
      <c r="B558" s="4">
        <v>45664</v>
      </c>
      <c r="C558" s="5">
        <v>7867</v>
      </c>
      <c r="D558" s="9" t="s">
        <v>265</v>
      </c>
      <c r="E558" s="5" t="s">
        <v>68</v>
      </c>
      <c r="F558" s="5" t="s">
        <v>175</v>
      </c>
      <c r="G558" s="5" t="s">
        <v>30</v>
      </c>
      <c r="H558" s="5">
        <v>100</v>
      </c>
      <c r="I558" s="25">
        <v>4533</v>
      </c>
      <c r="J558" s="9">
        <v>0</v>
      </c>
      <c r="K558" s="14">
        <v>0</v>
      </c>
      <c r="L558" s="21" t="s">
        <v>288</v>
      </c>
      <c r="M558" s="15">
        <f t="shared" si="14"/>
        <v>453300</v>
      </c>
      <c r="N558" s="19">
        <v>0</v>
      </c>
    </row>
    <row r="559" spans="1:14" x14ac:dyDescent="0.45">
      <c r="A559" s="4">
        <v>45656</v>
      </c>
      <c r="B559" s="4">
        <v>45664</v>
      </c>
      <c r="C559" s="5">
        <v>7974</v>
      </c>
      <c r="D559" s="9" t="s">
        <v>174</v>
      </c>
      <c r="E559" s="5" t="s">
        <v>68</v>
      </c>
      <c r="F559" s="5" t="s">
        <v>175</v>
      </c>
      <c r="G559" s="5" t="s">
        <v>30</v>
      </c>
      <c r="H559" s="5">
        <v>100</v>
      </c>
      <c r="I559" s="25">
        <v>9340</v>
      </c>
      <c r="J559" s="9">
        <v>0</v>
      </c>
      <c r="K559" s="14">
        <v>0</v>
      </c>
      <c r="L559" s="21" t="s">
        <v>288</v>
      </c>
      <c r="M559" s="15">
        <f t="shared" si="14"/>
        <v>934000</v>
      </c>
      <c r="N559" s="19">
        <v>0</v>
      </c>
    </row>
    <row r="560" spans="1:14" x14ac:dyDescent="0.45">
      <c r="A560" s="4">
        <v>45656</v>
      </c>
      <c r="B560" s="4">
        <v>45664</v>
      </c>
      <c r="C560" s="5">
        <v>8001</v>
      </c>
      <c r="D560" s="9" t="s">
        <v>203</v>
      </c>
      <c r="E560" s="5" t="s">
        <v>68</v>
      </c>
      <c r="F560" s="5" t="s">
        <v>175</v>
      </c>
      <c r="G560" s="5" t="s">
        <v>30</v>
      </c>
      <c r="H560" s="5">
        <v>100</v>
      </c>
      <c r="I560" s="25">
        <v>7828</v>
      </c>
      <c r="J560" s="9">
        <v>0</v>
      </c>
      <c r="K560" s="14">
        <v>0</v>
      </c>
      <c r="L560" s="21" t="s">
        <v>288</v>
      </c>
      <c r="M560" s="15">
        <f t="shared" si="14"/>
        <v>782800</v>
      </c>
      <c r="N560" s="19">
        <v>0</v>
      </c>
    </row>
    <row r="561" spans="1:14" x14ac:dyDescent="0.45">
      <c r="A561" s="4">
        <v>45656</v>
      </c>
      <c r="B561" s="4">
        <v>45664</v>
      </c>
      <c r="C561" s="5">
        <v>9602</v>
      </c>
      <c r="D561" s="9" t="s">
        <v>131</v>
      </c>
      <c r="E561" s="5" t="s">
        <v>68</v>
      </c>
      <c r="F561" s="5" t="s">
        <v>175</v>
      </c>
      <c r="G561" s="5" t="s">
        <v>30</v>
      </c>
      <c r="H561" s="5">
        <v>100</v>
      </c>
      <c r="I561" s="25">
        <v>6145</v>
      </c>
      <c r="J561" s="9">
        <v>0</v>
      </c>
      <c r="K561" s="14">
        <v>0</v>
      </c>
      <c r="L561" s="21" t="s">
        <v>288</v>
      </c>
      <c r="M561" s="15">
        <f t="shared" si="14"/>
        <v>614500</v>
      </c>
      <c r="N561" s="19">
        <v>0</v>
      </c>
    </row>
    <row r="562" spans="1:14" x14ac:dyDescent="0.45">
      <c r="A562" s="4">
        <v>45663</v>
      </c>
      <c r="B562" s="4">
        <v>45665</v>
      </c>
      <c r="C562" s="5">
        <v>2432</v>
      </c>
      <c r="D562" s="9" t="s">
        <v>246</v>
      </c>
      <c r="E562" s="5" t="s">
        <v>68</v>
      </c>
      <c r="F562" s="5" t="s">
        <v>175</v>
      </c>
      <c r="G562" s="5" t="s">
        <v>30</v>
      </c>
      <c r="H562" s="5">
        <v>100</v>
      </c>
      <c r="I562" s="25">
        <v>2878.5</v>
      </c>
      <c r="J562" s="9">
        <v>0</v>
      </c>
      <c r="K562" s="14">
        <v>0</v>
      </c>
      <c r="L562" s="21" t="s">
        <v>297</v>
      </c>
      <c r="M562" s="15">
        <f t="shared" si="14"/>
        <v>287850</v>
      </c>
      <c r="N562" s="19">
        <v>0</v>
      </c>
    </row>
    <row r="563" spans="1:14" x14ac:dyDescent="0.45">
      <c r="A563" s="4">
        <v>45665</v>
      </c>
      <c r="B563" s="4">
        <v>45667</v>
      </c>
      <c r="C563" s="5">
        <v>8698</v>
      </c>
      <c r="D563" s="9" t="s">
        <v>275</v>
      </c>
      <c r="E563" s="5" t="s">
        <v>68</v>
      </c>
      <c r="F563" s="5" t="s">
        <v>175</v>
      </c>
      <c r="G563" s="5" t="s">
        <v>30</v>
      </c>
      <c r="H563" s="5">
        <v>200</v>
      </c>
      <c r="I563" s="25">
        <v>938.6</v>
      </c>
      <c r="J563" s="9">
        <v>0</v>
      </c>
      <c r="K563" s="14">
        <v>0</v>
      </c>
      <c r="L563" s="21" t="s">
        <v>299</v>
      </c>
      <c r="M563" s="15">
        <f t="shared" si="14"/>
        <v>187720</v>
      </c>
      <c r="N563" s="19">
        <v>0</v>
      </c>
    </row>
    <row r="564" spans="1:14" x14ac:dyDescent="0.45">
      <c r="A564" s="4">
        <v>45665</v>
      </c>
      <c r="B564" s="4">
        <v>45667</v>
      </c>
      <c r="C564" s="5">
        <v>9348</v>
      </c>
      <c r="D564" s="9" t="s">
        <v>260</v>
      </c>
      <c r="E564" s="5" t="s">
        <v>67</v>
      </c>
      <c r="F564" s="5" t="s">
        <v>29</v>
      </c>
      <c r="G564" s="5" t="s">
        <v>178</v>
      </c>
      <c r="H564" s="5">
        <v>100</v>
      </c>
      <c r="I564" s="25">
        <v>752.5</v>
      </c>
      <c r="J564" s="9">
        <v>0</v>
      </c>
      <c r="K564" s="14">
        <v>0</v>
      </c>
      <c r="L564" s="19" t="s">
        <v>90</v>
      </c>
      <c r="M564" s="15">
        <f t="shared" si="14"/>
        <v>75250</v>
      </c>
      <c r="N564" s="19">
        <v>3140</v>
      </c>
    </row>
    <row r="565" spans="1:14" x14ac:dyDescent="0.45">
      <c r="A565" s="4">
        <v>45665</v>
      </c>
      <c r="B565" s="4">
        <v>45667</v>
      </c>
      <c r="C565" s="5">
        <v>9348</v>
      </c>
      <c r="D565" s="9" t="s">
        <v>260</v>
      </c>
      <c r="E565" s="5" t="s">
        <v>67</v>
      </c>
      <c r="F565" s="5" t="s">
        <v>29</v>
      </c>
      <c r="G565" s="5" t="s">
        <v>178</v>
      </c>
      <c r="H565" s="5">
        <v>200</v>
      </c>
      <c r="I565" s="25">
        <v>752.4</v>
      </c>
      <c r="J565" s="9">
        <v>0</v>
      </c>
      <c r="K565" s="14">
        <v>0</v>
      </c>
      <c r="L565" s="19" t="s">
        <v>90</v>
      </c>
      <c r="M565" s="15">
        <f t="shared" si="14"/>
        <v>150480</v>
      </c>
      <c r="N565" s="19">
        <v>6260</v>
      </c>
    </row>
    <row r="566" spans="1:14" x14ac:dyDescent="0.45">
      <c r="A566" s="4">
        <v>45679</v>
      </c>
      <c r="B566" s="4">
        <v>45681</v>
      </c>
      <c r="C566" s="5">
        <v>9984</v>
      </c>
      <c r="D566" s="9" t="s">
        <v>267</v>
      </c>
      <c r="E566" s="5" t="s">
        <v>68</v>
      </c>
      <c r="F566" s="5" t="s">
        <v>175</v>
      </c>
      <c r="G566" s="5" t="s">
        <v>178</v>
      </c>
      <c r="H566" s="5">
        <v>100</v>
      </c>
      <c r="I566" s="25">
        <v>10135</v>
      </c>
      <c r="J566" s="9">
        <v>0</v>
      </c>
      <c r="K566" s="14">
        <v>0</v>
      </c>
      <c r="L566" s="19" t="s">
        <v>90</v>
      </c>
      <c r="M566" s="15">
        <f t="shared" si="14"/>
        <v>1013500</v>
      </c>
      <c r="N566" s="19">
        <v>64150</v>
      </c>
    </row>
    <row r="567" spans="1:14" x14ac:dyDescent="0.45">
      <c r="A567" s="4">
        <v>45680</v>
      </c>
      <c r="B567" s="4">
        <v>45684</v>
      </c>
      <c r="C567" s="5">
        <v>9602</v>
      </c>
      <c r="D567" s="9" t="s">
        <v>131</v>
      </c>
      <c r="E567" s="5" t="s">
        <v>68</v>
      </c>
      <c r="F567" s="5" t="s">
        <v>175</v>
      </c>
      <c r="G567" s="5" t="s">
        <v>178</v>
      </c>
      <c r="H567" s="5">
        <v>100</v>
      </c>
      <c r="I567" s="25">
        <v>6607</v>
      </c>
      <c r="J567" s="9">
        <v>0</v>
      </c>
      <c r="K567" s="14">
        <v>0</v>
      </c>
      <c r="L567" s="19" t="s">
        <v>90</v>
      </c>
      <c r="M567" s="15">
        <f t="shared" si="14"/>
        <v>660700</v>
      </c>
      <c r="N567" s="19">
        <v>24200</v>
      </c>
    </row>
    <row r="568" spans="1:14" x14ac:dyDescent="0.45">
      <c r="A568" s="4">
        <v>45680</v>
      </c>
      <c r="B568" s="4">
        <v>45684</v>
      </c>
      <c r="C568" s="5">
        <v>9602</v>
      </c>
      <c r="D568" s="9" t="s">
        <v>131</v>
      </c>
      <c r="E568" s="5" t="s">
        <v>68</v>
      </c>
      <c r="F568" s="5" t="s">
        <v>175</v>
      </c>
      <c r="G568" s="5" t="s">
        <v>178</v>
      </c>
      <c r="H568" s="5">
        <v>100</v>
      </c>
      <c r="I568" s="25">
        <v>6603</v>
      </c>
      <c r="J568" s="9">
        <v>0</v>
      </c>
      <c r="K568" s="14">
        <v>0</v>
      </c>
      <c r="L568" s="19" t="s">
        <v>90</v>
      </c>
      <c r="M568" s="15">
        <f t="shared" si="14"/>
        <v>660300</v>
      </c>
      <c r="N568" s="19">
        <v>23800</v>
      </c>
    </row>
    <row r="569" spans="1:14" x14ac:dyDescent="0.45">
      <c r="A569" s="4">
        <v>45680</v>
      </c>
      <c r="B569" s="4">
        <v>45684</v>
      </c>
      <c r="C569" s="5">
        <v>7974</v>
      </c>
      <c r="D569" s="9" t="s">
        <v>174</v>
      </c>
      <c r="E569" s="5" t="s">
        <v>68</v>
      </c>
      <c r="F569" s="5" t="s">
        <v>175</v>
      </c>
      <c r="G569" s="5" t="s">
        <v>178</v>
      </c>
      <c r="H569" s="5">
        <v>100</v>
      </c>
      <c r="I569" s="25">
        <v>9611</v>
      </c>
      <c r="J569" s="9">
        <v>0</v>
      </c>
      <c r="K569" s="14">
        <v>0</v>
      </c>
      <c r="L569" s="19" t="s">
        <v>90</v>
      </c>
      <c r="M569" s="15">
        <f t="shared" si="14"/>
        <v>961100</v>
      </c>
      <c r="N569" s="19">
        <v>27100</v>
      </c>
    </row>
    <row r="570" spans="1:14" x14ac:dyDescent="0.45">
      <c r="A570" s="4">
        <v>45688</v>
      </c>
      <c r="B570" s="4">
        <v>45692</v>
      </c>
      <c r="C570" s="5">
        <v>7012</v>
      </c>
      <c r="D570" s="9" t="s">
        <v>183</v>
      </c>
      <c r="E570" s="5" t="s">
        <v>68</v>
      </c>
      <c r="F570" s="5" t="s">
        <v>175</v>
      </c>
      <c r="G570" s="5" t="s">
        <v>30</v>
      </c>
      <c r="H570" s="5">
        <v>100</v>
      </c>
      <c r="I570" s="25">
        <v>6965</v>
      </c>
      <c r="J570" s="9">
        <v>0</v>
      </c>
      <c r="K570" s="14">
        <v>0</v>
      </c>
      <c r="L570" s="21" t="s">
        <v>303</v>
      </c>
      <c r="M570" s="15">
        <f t="shared" si="14"/>
        <v>696500</v>
      </c>
      <c r="N570" s="19">
        <v>0</v>
      </c>
    </row>
    <row r="571" spans="1:14" x14ac:dyDescent="0.45">
      <c r="A571" s="4">
        <v>45691</v>
      </c>
      <c r="B571" s="4">
        <v>45693</v>
      </c>
      <c r="C571" s="5">
        <v>2432</v>
      </c>
      <c r="D571" s="9" t="s">
        <v>246</v>
      </c>
      <c r="E571" s="5" t="s">
        <v>68</v>
      </c>
      <c r="F571" s="5" t="s">
        <v>175</v>
      </c>
      <c r="G571" s="5" t="s">
        <v>30</v>
      </c>
      <c r="H571" s="5">
        <v>100</v>
      </c>
      <c r="I571" s="25">
        <v>2826</v>
      </c>
      <c r="J571" s="9">
        <v>0</v>
      </c>
      <c r="K571" s="14">
        <v>0</v>
      </c>
      <c r="L571" s="21" t="s">
        <v>306</v>
      </c>
      <c r="M571" s="15">
        <f t="shared" si="14"/>
        <v>282600</v>
      </c>
      <c r="N571" s="19">
        <v>0</v>
      </c>
    </row>
    <row r="572" spans="1:14" x14ac:dyDescent="0.45">
      <c r="A572" s="4">
        <v>45691</v>
      </c>
      <c r="B572" s="4">
        <v>45693</v>
      </c>
      <c r="C572" s="5">
        <v>5401</v>
      </c>
      <c r="D572" s="9" t="s">
        <v>307</v>
      </c>
      <c r="E572" s="5" t="s">
        <v>68</v>
      </c>
      <c r="F572" s="5" t="s">
        <v>175</v>
      </c>
      <c r="G572" s="5" t="s">
        <v>30</v>
      </c>
      <c r="H572" s="5">
        <v>100</v>
      </c>
      <c r="I572" s="25">
        <v>3184</v>
      </c>
      <c r="J572" s="9">
        <v>0</v>
      </c>
      <c r="K572" s="14">
        <v>0</v>
      </c>
      <c r="L572" s="21" t="s">
        <v>306</v>
      </c>
      <c r="M572" s="15">
        <f t="shared" si="14"/>
        <v>318400</v>
      </c>
      <c r="N572" s="19">
        <v>0</v>
      </c>
    </row>
    <row r="573" spans="1:14" x14ac:dyDescent="0.45">
      <c r="A573" s="4">
        <v>45691</v>
      </c>
      <c r="B573" s="4">
        <v>45693</v>
      </c>
      <c r="C573" s="5">
        <v>8316</v>
      </c>
      <c r="D573" s="9" t="s">
        <v>228</v>
      </c>
      <c r="E573" s="5" t="s">
        <v>68</v>
      </c>
      <c r="F573" s="5" t="s">
        <v>175</v>
      </c>
      <c r="G573" s="5" t="s">
        <v>30</v>
      </c>
      <c r="H573" s="5">
        <v>100</v>
      </c>
      <c r="I573" s="25">
        <v>3756</v>
      </c>
      <c r="J573" s="9">
        <v>0</v>
      </c>
      <c r="K573" s="14">
        <v>0</v>
      </c>
      <c r="L573" s="21" t="s">
        <v>306</v>
      </c>
      <c r="M573" s="15">
        <f t="shared" si="14"/>
        <v>375600</v>
      </c>
      <c r="N573" s="19">
        <v>0</v>
      </c>
    </row>
    <row r="574" spans="1:14" x14ac:dyDescent="0.45">
      <c r="A574" s="4">
        <v>45692</v>
      </c>
      <c r="B574" s="4">
        <v>45694</v>
      </c>
      <c r="C574" s="5">
        <v>7867</v>
      </c>
      <c r="D574" s="9" t="s">
        <v>265</v>
      </c>
      <c r="E574" s="5" t="s">
        <v>68</v>
      </c>
      <c r="F574" s="5" t="s">
        <v>175</v>
      </c>
      <c r="G574" s="5" t="s">
        <v>178</v>
      </c>
      <c r="H574" s="5">
        <v>100</v>
      </c>
      <c r="I574" s="25">
        <v>4241</v>
      </c>
      <c r="J574" s="9">
        <v>0</v>
      </c>
      <c r="K574" s="14">
        <v>0</v>
      </c>
      <c r="L574" s="19" t="s">
        <v>90</v>
      </c>
      <c r="M574" s="15">
        <f t="shared" si="14"/>
        <v>424100</v>
      </c>
      <c r="N574" s="19">
        <v>18800</v>
      </c>
    </row>
    <row r="575" spans="1:14" x14ac:dyDescent="0.45">
      <c r="A575" s="4">
        <v>45692</v>
      </c>
      <c r="B575" s="4">
        <v>45694</v>
      </c>
      <c r="C575" s="5">
        <v>8316</v>
      </c>
      <c r="D575" s="9" t="s">
        <v>228</v>
      </c>
      <c r="E575" s="5" t="s">
        <v>68</v>
      </c>
      <c r="F575" s="5" t="s">
        <v>175</v>
      </c>
      <c r="G575" s="5" t="s">
        <v>178</v>
      </c>
      <c r="H575" s="5">
        <v>100</v>
      </c>
      <c r="I575" s="25">
        <v>3787</v>
      </c>
      <c r="J575" s="9">
        <v>0</v>
      </c>
      <c r="K575" s="14">
        <v>0</v>
      </c>
      <c r="L575" s="19" t="s">
        <v>90</v>
      </c>
      <c r="M575" s="15">
        <f t="shared" si="14"/>
        <v>378700</v>
      </c>
      <c r="N575" s="19">
        <v>3100</v>
      </c>
    </row>
    <row r="576" spans="1:14" x14ac:dyDescent="0.45">
      <c r="A576" s="4">
        <v>45695</v>
      </c>
      <c r="B576" s="4">
        <v>45700</v>
      </c>
      <c r="C576" s="5">
        <v>2432</v>
      </c>
      <c r="D576" s="9" t="s">
        <v>246</v>
      </c>
      <c r="E576" s="5" t="s">
        <v>68</v>
      </c>
      <c r="F576" s="5" t="s">
        <v>175</v>
      </c>
      <c r="G576" s="5" t="s">
        <v>178</v>
      </c>
      <c r="H576" s="5">
        <v>300</v>
      </c>
      <c r="I576" s="25">
        <v>3016</v>
      </c>
      <c r="J576" s="9">
        <v>0</v>
      </c>
      <c r="K576" s="14">
        <v>0</v>
      </c>
      <c r="L576" s="19" t="s">
        <v>90</v>
      </c>
      <c r="M576" s="15">
        <f t="shared" si="14"/>
        <v>904800</v>
      </c>
      <c r="N576" s="19">
        <f>5700*3</f>
        <v>17100</v>
      </c>
    </row>
    <row r="577" spans="1:14" x14ac:dyDescent="0.45">
      <c r="A577" s="4">
        <v>45698</v>
      </c>
      <c r="B577" s="4">
        <v>45701</v>
      </c>
      <c r="C577" s="5">
        <v>5803</v>
      </c>
      <c r="D577" s="9" t="s">
        <v>309</v>
      </c>
      <c r="E577" s="5" t="s">
        <v>68</v>
      </c>
      <c r="F577" s="5" t="s">
        <v>175</v>
      </c>
      <c r="G577" s="5" t="s">
        <v>30</v>
      </c>
      <c r="H577" s="5">
        <v>100</v>
      </c>
      <c r="I577" s="25">
        <v>6360</v>
      </c>
      <c r="J577" s="9">
        <v>0</v>
      </c>
      <c r="K577" s="14">
        <v>0</v>
      </c>
      <c r="L577" s="21" t="s">
        <v>177</v>
      </c>
      <c r="M577" s="15">
        <f t="shared" si="14"/>
        <v>636000</v>
      </c>
      <c r="N577" s="19">
        <v>0</v>
      </c>
    </row>
    <row r="578" spans="1:14" x14ac:dyDescent="0.45">
      <c r="A578" s="4">
        <v>45698</v>
      </c>
      <c r="B578" s="4">
        <v>45701</v>
      </c>
      <c r="C578" s="5">
        <v>9368</v>
      </c>
      <c r="D578" s="9" t="s">
        <v>310</v>
      </c>
      <c r="E578" s="5" t="s">
        <v>68</v>
      </c>
      <c r="F578" s="5" t="s">
        <v>175</v>
      </c>
      <c r="G578" s="5" t="s">
        <v>30</v>
      </c>
      <c r="H578" s="5">
        <v>100</v>
      </c>
      <c r="I578" s="25">
        <v>1600</v>
      </c>
      <c r="J578" s="9">
        <v>0</v>
      </c>
      <c r="K578" s="14">
        <v>0</v>
      </c>
      <c r="L578" s="21" t="s">
        <v>177</v>
      </c>
      <c r="M578" s="15">
        <f t="shared" si="14"/>
        <v>160000</v>
      </c>
      <c r="N578" s="19">
        <v>0</v>
      </c>
    </row>
    <row r="579" spans="1:14" x14ac:dyDescent="0.45">
      <c r="A579" s="4">
        <v>45702</v>
      </c>
      <c r="B579" s="4">
        <v>45706</v>
      </c>
      <c r="C579" s="5">
        <v>5803</v>
      </c>
      <c r="D579" s="9" t="s">
        <v>309</v>
      </c>
      <c r="E579" s="5" t="s">
        <v>68</v>
      </c>
      <c r="F579" s="5" t="s">
        <v>175</v>
      </c>
      <c r="G579" s="5" t="s">
        <v>178</v>
      </c>
      <c r="H579" s="5">
        <v>100</v>
      </c>
      <c r="I579" s="25">
        <v>7115</v>
      </c>
      <c r="J579" s="9">
        <v>0</v>
      </c>
      <c r="K579" s="14">
        <v>0</v>
      </c>
      <c r="L579" s="19" t="s">
        <v>90</v>
      </c>
      <c r="M579" s="15">
        <f t="shared" si="14"/>
        <v>711500</v>
      </c>
      <c r="N579" s="19">
        <v>75500</v>
      </c>
    </row>
    <row r="580" spans="1:14" x14ac:dyDescent="0.45">
      <c r="A580" s="4">
        <v>45705</v>
      </c>
      <c r="B580" s="4">
        <v>45707</v>
      </c>
      <c r="C580" s="5">
        <v>6465</v>
      </c>
      <c r="D580" s="9" t="s">
        <v>311</v>
      </c>
      <c r="E580" s="5" t="s">
        <v>68</v>
      </c>
      <c r="F580" s="5" t="s">
        <v>175</v>
      </c>
      <c r="G580" s="5" t="s">
        <v>30</v>
      </c>
      <c r="H580" s="5">
        <v>100</v>
      </c>
      <c r="I580" s="25">
        <v>6090</v>
      </c>
      <c r="J580" s="9">
        <v>0</v>
      </c>
      <c r="K580" s="14">
        <v>0</v>
      </c>
      <c r="L580" s="19" t="s">
        <v>314</v>
      </c>
      <c r="M580" s="15">
        <f t="shared" si="14"/>
        <v>609000</v>
      </c>
      <c r="N580" s="19">
        <v>0</v>
      </c>
    </row>
    <row r="581" spans="1:14" x14ac:dyDescent="0.45">
      <c r="A581" s="4">
        <v>45705</v>
      </c>
      <c r="B581" s="4">
        <v>45707</v>
      </c>
      <c r="C581" s="5">
        <v>9023</v>
      </c>
      <c r="D581" s="9" t="s">
        <v>312</v>
      </c>
      <c r="E581" s="5" t="s">
        <v>68</v>
      </c>
      <c r="F581" s="5" t="s">
        <v>175</v>
      </c>
      <c r="G581" s="5" t="s">
        <v>30</v>
      </c>
      <c r="H581" s="5">
        <v>100</v>
      </c>
      <c r="I581" s="25">
        <v>1859</v>
      </c>
      <c r="J581" s="9">
        <v>0</v>
      </c>
      <c r="K581" s="14">
        <v>0</v>
      </c>
      <c r="L581" s="19" t="s">
        <v>314</v>
      </c>
      <c r="M581" s="15">
        <f t="shared" si="14"/>
        <v>185900</v>
      </c>
      <c r="N581" s="19">
        <v>0</v>
      </c>
    </row>
    <row r="582" spans="1:14" x14ac:dyDescent="0.45">
      <c r="A582" s="4">
        <v>45707</v>
      </c>
      <c r="B582" s="4">
        <v>45709</v>
      </c>
      <c r="C582" s="5">
        <v>8001</v>
      </c>
      <c r="D582" s="9" t="s">
        <v>313</v>
      </c>
      <c r="E582" s="5" t="s">
        <v>68</v>
      </c>
      <c r="F582" s="5" t="s">
        <v>175</v>
      </c>
      <c r="G582" s="5" t="s">
        <v>178</v>
      </c>
      <c r="H582" s="5">
        <v>100</v>
      </c>
      <c r="I582" s="25">
        <v>6216</v>
      </c>
      <c r="J582" s="9">
        <v>0</v>
      </c>
      <c r="K582" s="14">
        <v>0</v>
      </c>
      <c r="L582" s="19" t="s">
        <v>90</v>
      </c>
      <c r="M582" s="15">
        <f t="shared" si="14"/>
        <v>621600</v>
      </c>
      <c r="N582" s="19">
        <v>-161200</v>
      </c>
    </row>
    <row r="583" spans="1:14" x14ac:dyDescent="0.45">
      <c r="A583" s="4">
        <v>45714</v>
      </c>
      <c r="B583" s="4">
        <v>45716</v>
      </c>
      <c r="C583" s="5">
        <v>4613</v>
      </c>
      <c r="D583" s="9" t="s">
        <v>325</v>
      </c>
      <c r="E583" s="5" t="s">
        <v>68</v>
      </c>
      <c r="F583" s="5" t="s">
        <v>175</v>
      </c>
      <c r="G583" s="5" t="s">
        <v>30</v>
      </c>
      <c r="H583" s="5">
        <v>200</v>
      </c>
      <c r="I583" s="25">
        <v>2211</v>
      </c>
      <c r="J583" s="9">
        <v>0</v>
      </c>
      <c r="K583" s="14">
        <v>0</v>
      </c>
      <c r="L583" s="21" t="s">
        <v>324</v>
      </c>
      <c r="M583" s="15">
        <f t="shared" si="14"/>
        <v>442200</v>
      </c>
      <c r="N583" s="19">
        <v>0</v>
      </c>
    </row>
    <row r="584" spans="1:14" x14ac:dyDescent="0.45">
      <c r="A584" s="4">
        <v>45714</v>
      </c>
      <c r="B584" s="4">
        <v>45716</v>
      </c>
      <c r="C584" s="5">
        <v>5803</v>
      </c>
      <c r="D584" s="9" t="s">
        <v>309</v>
      </c>
      <c r="E584" s="5" t="s">
        <v>68</v>
      </c>
      <c r="F584" s="5" t="s">
        <v>175</v>
      </c>
      <c r="G584" s="5" t="s">
        <v>30</v>
      </c>
      <c r="H584" s="5">
        <v>100</v>
      </c>
      <c r="I584" s="25">
        <v>6190</v>
      </c>
      <c r="J584" s="9">
        <v>0</v>
      </c>
      <c r="K584" s="14">
        <v>0</v>
      </c>
      <c r="L584" s="21" t="s">
        <v>324</v>
      </c>
      <c r="M584" s="15">
        <f t="shared" si="14"/>
        <v>619000</v>
      </c>
      <c r="N584" s="19">
        <v>0</v>
      </c>
    </row>
    <row r="585" spans="1:14" x14ac:dyDescent="0.45">
      <c r="A585" s="4">
        <v>45714</v>
      </c>
      <c r="B585" s="4">
        <v>45716</v>
      </c>
      <c r="C585" s="5">
        <v>9023</v>
      </c>
      <c r="D585" s="9" t="s">
        <v>312</v>
      </c>
      <c r="E585" s="5" t="s">
        <v>68</v>
      </c>
      <c r="F585" s="5" t="s">
        <v>175</v>
      </c>
      <c r="G585" s="5" t="s">
        <v>30</v>
      </c>
      <c r="H585" s="5">
        <v>100</v>
      </c>
      <c r="I585" s="25">
        <v>1820</v>
      </c>
      <c r="J585" s="9">
        <v>0</v>
      </c>
      <c r="K585" s="14">
        <v>0</v>
      </c>
      <c r="L585" s="21" t="s">
        <v>324</v>
      </c>
      <c r="M585" s="15">
        <f t="shared" si="14"/>
        <v>182000</v>
      </c>
      <c r="N585" s="19">
        <v>0</v>
      </c>
    </row>
    <row r="586" spans="1:14" x14ac:dyDescent="0.45">
      <c r="A586" s="4">
        <v>45715</v>
      </c>
      <c r="B586" s="4">
        <v>45719</v>
      </c>
      <c r="C586" s="5">
        <v>8604</v>
      </c>
      <c r="D586" s="9" t="s">
        <v>326</v>
      </c>
      <c r="E586" s="5" t="s">
        <v>68</v>
      </c>
      <c r="F586" s="5" t="s">
        <v>175</v>
      </c>
      <c r="G586" s="5" t="s">
        <v>30</v>
      </c>
      <c r="H586" s="5">
        <v>300</v>
      </c>
      <c r="I586" s="25">
        <v>992.4</v>
      </c>
      <c r="J586" s="9">
        <v>0</v>
      </c>
      <c r="K586" s="14">
        <v>0</v>
      </c>
      <c r="L586" s="21" t="s">
        <v>324</v>
      </c>
      <c r="M586" s="15">
        <f t="shared" si="14"/>
        <v>297720</v>
      </c>
      <c r="N586" s="19">
        <v>0</v>
      </c>
    </row>
    <row r="587" spans="1:14" x14ac:dyDescent="0.45">
      <c r="A587" s="4">
        <v>45716</v>
      </c>
      <c r="B587" s="4">
        <v>45720</v>
      </c>
      <c r="C587" s="5">
        <v>3397</v>
      </c>
      <c r="D587" s="9" t="s">
        <v>110</v>
      </c>
      <c r="E587" s="5" t="s">
        <v>68</v>
      </c>
      <c r="F587" s="5" t="s">
        <v>175</v>
      </c>
      <c r="G587" s="5" t="s">
        <v>30</v>
      </c>
      <c r="H587" s="5">
        <v>100</v>
      </c>
      <c r="I587" s="25">
        <v>3873</v>
      </c>
      <c r="J587" s="9">
        <v>0</v>
      </c>
      <c r="K587" s="14">
        <v>0</v>
      </c>
      <c r="L587" s="21" t="s">
        <v>324</v>
      </c>
      <c r="M587" s="15">
        <f t="shared" si="14"/>
        <v>387300</v>
      </c>
      <c r="N587" s="19">
        <v>0</v>
      </c>
    </row>
    <row r="588" spans="1:14" x14ac:dyDescent="0.45">
      <c r="A588" s="4">
        <v>45716</v>
      </c>
      <c r="B588" s="4">
        <v>45720</v>
      </c>
      <c r="C588" s="5">
        <v>4519</v>
      </c>
      <c r="D588" s="9" t="s">
        <v>200</v>
      </c>
      <c r="E588" s="5" t="s">
        <v>68</v>
      </c>
      <c r="F588" s="5" t="s">
        <v>175</v>
      </c>
      <c r="G588" s="5" t="s">
        <v>178</v>
      </c>
      <c r="H588" s="5">
        <v>100</v>
      </c>
      <c r="I588" s="25">
        <v>7505</v>
      </c>
      <c r="J588" s="9">
        <v>0</v>
      </c>
      <c r="K588" s="14">
        <v>0</v>
      </c>
      <c r="L588" s="19" t="s">
        <v>90</v>
      </c>
      <c r="M588" s="15">
        <f t="shared" si="14"/>
        <v>750500</v>
      </c>
      <c r="N588" s="19">
        <v>19200</v>
      </c>
    </row>
    <row r="589" spans="1:14" x14ac:dyDescent="0.45">
      <c r="A589" s="4">
        <v>45716</v>
      </c>
      <c r="B589" s="4">
        <v>45720</v>
      </c>
      <c r="C589" s="5">
        <v>9602</v>
      </c>
      <c r="D589" s="9" t="s">
        <v>131</v>
      </c>
      <c r="E589" s="5" t="s">
        <v>68</v>
      </c>
      <c r="F589" s="5" t="s">
        <v>175</v>
      </c>
      <c r="G589" s="5" t="s">
        <v>178</v>
      </c>
      <c r="H589" s="5">
        <v>100</v>
      </c>
      <c r="I589" s="25">
        <v>7067</v>
      </c>
      <c r="J589" s="9">
        <v>0</v>
      </c>
      <c r="K589" s="14">
        <v>0</v>
      </c>
      <c r="L589" s="21" t="s">
        <v>324</v>
      </c>
      <c r="M589" s="15">
        <f t="shared" si="14"/>
        <v>706700</v>
      </c>
      <c r="N589" s="19">
        <v>0</v>
      </c>
    </row>
    <row r="590" spans="1:14" x14ac:dyDescent="0.45">
      <c r="A590" s="4">
        <v>45719</v>
      </c>
      <c r="B590" s="4">
        <v>45721</v>
      </c>
      <c r="C590" s="5">
        <v>7012</v>
      </c>
      <c r="D590" s="9" t="s">
        <v>183</v>
      </c>
      <c r="E590" s="5" t="s">
        <v>68</v>
      </c>
      <c r="F590" s="5" t="s">
        <v>175</v>
      </c>
      <c r="G590" s="5" t="s">
        <v>178</v>
      </c>
      <c r="H590" s="5">
        <v>100</v>
      </c>
      <c r="I590" s="25">
        <v>7777</v>
      </c>
      <c r="J590" s="9">
        <v>0</v>
      </c>
      <c r="K590" s="14">
        <v>0</v>
      </c>
      <c r="L590" s="19" t="s">
        <v>90</v>
      </c>
      <c r="M590" s="15">
        <f t="shared" si="14"/>
        <v>777700</v>
      </c>
      <c r="N590" s="19">
        <v>81200</v>
      </c>
    </row>
    <row r="591" spans="1:14" x14ac:dyDescent="0.45">
      <c r="A591" s="4">
        <v>45720</v>
      </c>
      <c r="B591" s="4">
        <v>45722</v>
      </c>
      <c r="C591" s="5">
        <v>7974</v>
      </c>
      <c r="D591" s="9" t="s">
        <v>174</v>
      </c>
      <c r="E591" s="5" t="s">
        <v>68</v>
      </c>
      <c r="F591" s="5" t="s">
        <v>175</v>
      </c>
      <c r="G591" s="5" t="s">
        <v>30</v>
      </c>
      <c r="H591" s="5">
        <v>100</v>
      </c>
      <c r="I591" s="25">
        <v>11100</v>
      </c>
      <c r="J591" s="9">
        <v>0</v>
      </c>
      <c r="K591" s="14">
        <v>0</v>
      </c>
      <c r="L591" s="21" t="s">
        <v>327</v>
      </c>
      <c r="M591" s="15">
        <f t="shared" si="14"/>
        <v>1110000</v>
      </c>
      <c r="N591" s="19">
        <v>0</v>
      </c>
    </row>
    <row r="592" spans="1:14" x14ac:dyDescent="0.45">
      <c r="A592" s="4">
        <v>45720</v>
      </c>
      <c r="B592" s="4">
        <v>45722</v>
      </c>
      <c r="C592" s="5">
        <v>9368</v>
      </c>
      <c r="D592" s="9" t="s">
        <v>310</v>
      </c>
      <c r="E592" s="5" t="s">
        <v>68</v>
      </c>
      <c r="F592" s="5" t="s">
        <v>175</v>
      </c>
      <c r="G592" s="5" t="s">
        <v>178</v>
      </c>
      <c r="H592" s="5">
        <v>100</v>
      </c>
      <c r="I592" s="25">
        <v>1630.4</v>
      </c>
      <c r="J592" s="9">
        <v>0</v>
      </c>
      <c r="K592" s="14">
        <v>0</v>
      </c>
      <c r="L592" s="19" t="s">
        <v>90</v>
      </c>
      <c r="M592" s="15">
        <f t="shared" si="14"/>
        <v>163040</v>
      </c>
      <c r="N592" s="19">
        <v>3040</v>
      </c>
    </row>
    <row r="593" spans="1:14" x14ac:dyDescent="0.45">
      <c r="A593" s="4">
        <v>45722</v>
      </c>
      <c r="B593" s="4">
        <v>45726</v>
      </c>
      <c r="C593" s="5">
        <v>3397</v>
      </c>
      <c r="D593" s="9" t="s">
        <v>110</v>
      </c>
      <c r="E593" s="5" t="s">
        <v>68</v>
      </c>
      <c r="F593" s="5" t="s">
        <v>175</v>
      </c>
      <c r="G593" s="5" t="s">
        <v>178</v>
      </c>
      <c r="H593" s="5">
        <v>100</v>
      </c>
      <c r="I593" s="25">
        <v>4000</v>
      </c>
      <c r="J593" s="9">
        <v>0</v>
      </c>
      <c r="K593" s="14">
        <v>0</v>
      </c>
      <c r="L593" s="19" t="s">
        <v>90</v>
      </c>
      <c r="M593" s="15">
        <f t="shared" si="14"/>
        <v>400000</v>
      </c>
      <c r="N593" s="19">
        <v>12700</v>
      </c>
    </row>
    <row r="594" spans="1:14" x14ac:dyDescent="0.45">
      <c r="A594" s="4">
        <v>45723</v>
      </c>
      <c r="B594" s="4">
        <v>45727</v>
      </c>
      <c r="C594" s="5">
        <v>5401</v>
      </c>
      <c r="D594" s="9" t="s">
        <v>180</v>
      </c>
      <c r="E594" s="5" t="s">
        <v>68</v>
      </c>
      <c r="F594" s="5" t="s">
        <v>175</v>
      </c>
      <c r="G594" s="5" t="s">
        <v>178</v>
      </c>
      <c r="H594" s="5">
        <v>100</v>
      </c>
      <c r="I594" s="25">
        <v>3435</v>
      </c>
      <c r="J594" s="9">
        <v>0</v>
      </c>
      <c r="K594" s="14">
        <v>0</v>
      </c>
      <c r="L594" s="19" t="s">
        <v>90</v>
      </c>
      <c r="M594" s="15">
        <f t="shared" si="14"/>
        <v>343500</v>
      </c>
      <c r="N594" s="19">
        <v>25100</v>
      </c>
    </row>
    <row r="595" spans="1:14" x14ac:dyDescent="0.45">
      <c r="A595" s="4">
        <v>45727</v>
      </c>
      <c r="B595" s="4">
        <v>45729</v>
      </c>
      <c r="C595" s="5">
        <v>6465</v>
      </c>
      <c r="D595" s="9" t="s">
        <v>311</v>
      </c>
      <c r="E595" s="5" t="s">
        <v>68</v>
      </c>
      <c r="F595" s="5" t="s">
        <v>175</v>
      </c>
      <c r="G595" s="5" t="s">
        <v>30</v>
      </c>
      <c r="H595" s="5">
        <v>100</v>
      </c>
      <c r="I595" s="25">
        <v>6146</v>
      </c>
      <c r="J595" s="9">
        <v>0</v>
      </c>
      <c r="K595" s="14">
        <v>0</v>
      </c>
      <c r="L595" s="21" t="s">
        <v>327</v>
      </c>
      <c r="M595" s="15">
        <f t="shared" ref="M595:M677" si="15">IF(G595="買付",H595*I595+SUM(J595:K595),H595*I595-SUM(J595:K595))</f>
        <v>614600</v>
      </c>
      <c r="N595" s="19">
        <v>0</v>
      </c>
    </row>
    <row r="596" spans="1:14" x14ac:dyDescent="0.45">
      <c r="A596" s="4">
        <v>45733</v>
      </c>
      <c r="B596" s="4">
        <v>45735</v>
      </c>
      <c r="C596" s="5">
        <v>4613</v>
      </c>
      <c r="D596" s="9" t="s">
        <v>325</v>
      </c>
      <c r="E596" s="5" t="s">
        <v>68</v>
      </c>
      <c r="F596" s="5" t="s">
        <v>175</v>
      </c>
      <c r="G596" s="5" t="s">
        <v>178</v>
      </c>
      <c r="H596" s="5">
        <v>200</v>
      </c>
      <c r="I596" s="25">
        <v>2260.5</v>
      </c>
      <c r="J596" s="9">
        <v>0</v>
      </c>
      <c r="K596" s="14">
        <v>0</v>
      </c>
      <c r="L596" s="19" t="s">
        <v>90</v>
      </c>
      <c r="M596" s="15">
        <f t="shared" si="15"/>
        <v>452100</v>
      </c>
      <c r="N596" s="19">
        <v>9900</v>
      </c>
    </row>
    <row r="597" spans="1:14" x14ac:dyDescent="0.45">
      <c r="A597" s="4">
        <v>45733</v>
      </c>
      <c r="B597" s="4">
        <v>45735</v>
      </c>
      <c r="C597" s="5">
        <v>5803</v>
      </c>
      <c r="D597" s="9" t="s">
        <v>309</v>
      </c>
      <c r="E597" s="5" t="s">
        <v>68</v>
      </c>
      <c r="F597" s="5" t="s">
        <v>175</v>
      </c>
      <c r="G597" s="5" t="s">
        <v>178</v>
      </c>
      <c r="H597" s="5">
        <v>100</v>
      </c>
      <c r="I597" s="25">
        <v>6092</v>
      </c>
      <c r="J597" s="9">
        <v>0</v>
      </c>
      <c r="K597" s="14">
        <v>0</v>
      </c>
      <c r="L597" s="19" t="s">
        <v>90</v>
      </c>
      <c r="M597" s="15">
        <f t="shared" si="15"/>
        <v>609200</v>
      </c>
      <c r="N597" s="19">
        <v>-9800</v>
      </c>
    </row>
    <row r="598" spans="1:14" x14ac:dyDescent="0.45">
      <c r="A598" s="4">
        <v>45733</v>
      </c>
      <c r="B598" s="4">
        <v>45735</v>
      </c>
      <c r="C598" s="5">
        <v>8766</v>
      </c>
      <c r="D598" s="9" t="s">
        <v>44</v>
      </c>
      <c r="E598" s="5" t="s">
        <v>68</v>
      </c>
      <c r="F598" s="5" t="s">
        <v>175</v>
      </c>
      <c r="G598" s="5" t="s">
        <v>178</v>
      </c>
      <c r="H598" s="5">
        <v>100</v>
      </c>
      <c r="I598" s="25">
        <v>5708</v>
      </c>
      <c r="J598" s="9">
        <v>0</v>
      </c>
      <c r="K598" s="14">
        <v>0</v>
      </c>
      <c r="L598" s="19" t="s">
        <v>90</v>
      </c>
      <c r="M598" s="15">
        <f t="shared" si="15"/>
        <v>570800</v>
      </c>
      <c r="N598" s="19">
        <v>6300</v>
      </c>
    </row>
    <row r="599" spans="1:14" x14ac:dyDescent="0.45">
      <c r="A599" s="4">
        <v>45734</v>
      </c>
      <c r="B599" s="4">
        <v>45737</v>
      </c>
      <c r="C599" s="5">
        <v>9023</v>
      </c>
      <c r="D599" s="9" t="s">
        <v>312</v>
      </c>
      <c r="E599" s="5" t="s">
        <v>68</v>
      </c>
      <c r="F599" s="5" t="s">
        <v>175</v>
      </c>
      <c r="G599" s="5" t="s">
        <v>178</v>
      </c>
      <c r="H599" s="5">
        <v>200</v>
      </c>
      <c r="I599" s="25">
        <v>1910</v>
      </c>
      <c r="J599" s="9">
        <v>0</v>
      </c>
      <c r="K599" s="14">
        <v>0</v>
      </c>
      <c r="L599" s="19" t="s">
        <v>90</v>
      </c>
      <c r="M599" s="15">
        <f t="shared" si="15"/>
        <v>382000</v>
      </c>
      <c r="N599" s="19">
        <f>7000*2</f>
        <v>14000</v>
      </c>
    </row>
    <row r="600" spans="1:14" x14ac:dyDescent="0.45">
      <c r="A600" s="4">
        <v>45737</v>
      </c>
      <c r="B600" s="4">
        <v>45741</v>
      </c>
      <c r="C600" s="5">
        <v>6465</v>
      </c>
      <c r="D600" s="9" t="s">
        <v>311</v>
      </c>
      <c r="E600" s="5" t="s">
        <v>68</v>
      </c>
      <c r="F600" s="5" t="s">
        <v>175</v>
      </c>
      <c r="G600" s="5" t="s">
        <v>178</v>
      </c>
      <c r="H600" s="5">
        <v>200</v>
      </c>
      <c r="I600" s="25">
        <v>6512</v>
      </c>
      <c r="J600" s="9">
        <v>0</v>
      </c>
      <c r="K600" s="14">
        <v>0</v>
      </c>
      <c r="L600" s="19" t="s">
        <v>90</v>
      </c>
      <c r="M600" s="15">
        <f t="shared" si="15"/>
        <v>1302400</v>
      </c>
      <c r="N600" s="19">
        <f>39400*2</f>
        <v>78800</v>
      </c>
    </row>
    <row r="601" spans="1:14" x14ac:dyDescent="0.45">
      <c r="A601" s="4">
        <v>45737</v>
      </c>
      <c r="B601" s="4">
        <v>45741</v>
      </c>
      <c r="C601" s="5">
        <v>8306</v>
      </c>
      <c r="D601" s="9" t="s">
        <v>285</v>
      </c>
      <c r="E601" s="5" t="s">
        <v>68</v>
      </c>
      <c r="F601" s="5" t="s">
        <v>175</v>
      </c>
      <c r="G601" s="5" t="s">
        <v>178</v>
      </c>
      <c r="H601" s="5">
        <v>200</v>
      </c>
      <c r="I601" s="28">
        <v>2228</v>
      </c>
      <c r="J601" s="9">
        <v>0</v>
      </c>
      <c r="K601" s="14">
        <v>0</v>
      </c>
      <c r="L601" s="19" t="s">
        <v>90</v>
      </c>
      <c r="M601" s="15">
        <f t="shared" si="15"/>
        <v>445600</v>
      </c>
      <c r="N601" s="19">
        <v>81600</v>
      </c>
    </row>
    <row r="602" spans="1:14" x14ac:dyDescent="0.45">
      <c r="A602" s="4">
        <v>45737</v>
      </c>
      <c r="B602" s="4">
        <v>45741</v>
      </c>
      <c r="C602" s="5">
        <v>9602</v>
      </c>
      <c r="D602" s="9" t="s">
        <v>131</v>
      </c>
      <c r="E602" s="5" t="s">
        <v>68</v>
      </c>
      <c r="F602" s="5" t="s">
        <v>175</v>
      </c>
      <c r="G602" s="5" t="s">
        <v>178</v>
      </c>
      <c r="H602" s="5">
        <v>100</v>
      </c>
      <c r="I602" s="28">
        <v>7367</v>
      </c>
      <c r="J602" s="9">
        <v>0</v>
      </c>
      <c r="K602" s="14">
        <v>0</v>
      </c>
      <c r="L602" s="19" t="s">
        <v>90</v>
      </c>
      <c r="M602" s="15">
        <f t="shared" si="15"/>
        <v>736700</v>
      </c>
      <c r="N602" s="19">
        <v>30000</v>
      </c>
    </row>
    <row r="603" spans="1:14" x14ac:dyDescent="0.45">
      <c r="A603" s="4">
        <v>45741</v>
      </c>
      <c r="B603" s="4">
        <v>45743</v>
      </c>
      <c r="C603" s="5">
        <v>2432</v>
      </c>
      <c r="D603" s="9" t="s">
        <v>246</v>
      </c>
      <c r="E603" s="5" t="s">
        <v>68</v>
      </c>
      <c r="F603" s="5" t="s">
        <v>175</v>
      </c>
      <c r="G603" s="5" t="s">
        <v>30</v>
      </c>
      <c r="H603" s="5">
        <v>100</v>
      </c>
      <c r="I603" s="28">
        <v>3618</v>
      </c>
      <c r="J603" s="9">
        <v>0</v>
      </c>
      <c r="K603" s="14">
        <v>0</v>
      </c>
      <c r="L603" s="21" t="s">
        <v>177</v>
      </c>
      <c r="M603" s="15">
        <f t="shared" si="15"/>
        <v>361800</v>
      </c>
      <c r="N603" s="19">
        <v>0</v>
      </c>
    </row>
    <row r="604" spans="1:14" x14ac:dyDescent="0.45">
      <c r="A604" s="4">
        <v>45755</v>
      </c>
      <c r="B604" s="4">
        <v>45757</v>
      </c>
      <c r="C604" s="5">
        <v>7012</v>
      </c>
      <c r="D604" s="9" t="s">
        <v>183</v>
      </c>
      <c r="E604" s="5" t="s">
        <v>68</v>
      </c>
      <c r="F604" s="5" t="s">
        <v>175</v>
      </c>
      <c r="G604" s="5" t="s">
        <v>30</v>
      </c>
      <c r="H604" s="5">
        <v>100</v>
      </c>
      <c r="I604" s="28">
        <v>7123</v>
      </c>
      <c r="J604" s="9">
        <v>0</v>
      </c>
      <c r="K604" s="14">
        <v>0</v>
      </c>
      <c r="L604" s="21" t="s">
        <v>177</v>
      </c>
      <c r="M604" s="15">
        <f t="shared" si="15"/>
        <v>712300</v>
      </c>
      <c r="N604" s="19">
        <v>0</v>
      </c>
    </row>
    <row r="605" spans="1:14" x14ac:dyDescent="0.45">
      <c r="A605" s="4">
        <v>45755</v>
      </c>
      <c r="B605" s="4">
        <v>45757</v>
      </c>
      <c r="C605" s="5">
        <v>8766</v>
      </c>
      <c r="D605" s="9" t="s">
        <v>44</v>
      </c>
      <c r="E605" s="5" t="s">
        <v>68</v>
      </c>
      <c r="F605" s="5" t="s">
        <v>175</v>
      </c>
      <c r="G605" s="5" t="s">
        <v>30</v>
      </c>
      <c r="H605" s="5">
        <v>100</v>
      </c>
      <c r="I605" s="28">
        <v>5135</v>
      </c>
      <c r="J605" s="9">
        <v>0</v>
      </c>
      <c r="K605" s="14">
        <v>0</v>
      </c>
      <c r="L605" s="21" t="s">
        <v>177</v>
      </c>
      <c r="M605" s="15">
        <f t="shared" si="15"/>
        <v>513500</v>
      </c>
      <c r="N605" s="19">
        <v>0</v>
      </c>
    </row>
    <row r="606" spans="1:14" x14ac:dyDescent="0.45">
      <c r="A606" s="4">
        <v>45757</v>
      </c>
      <c r="B606" s="4">
        <v>45761</v>
      </c>
      <c r="C606" s="5">
        <v>9104</v>
      </c>
      <c r="D606" s="9" t="s">
        <v>91</v>
      </c>
      <c r="E606" s="5" t="s">
        <v>68</v>
      </c>
      <c r="F606" s="5" t="s">
        <v>175</v>
      </c>
      <c r="G606" s="5" t="s">
        <v>30</v>
      </c>
      <c r="H606" s="5">
        <v>100</v>
      </c>
      <c r="I606" s="28">
        <v>4945</v>
      </c>
      <c r="J606" s="9">
        <v>0</v>
      </c>
      <c r="K606" s="14">
        <v>0</v>
      </c>
      <c r="L606" s="21" t="s">
        <v>330</v>
      </c>
      <c r="M606" s="15">
        <f t="shared" si="15"/>
        <v>494500</v>
      </c>
      <c r="N606" s="19">
        <v>0</v>
      </c>
    </row>
    <row r="607" spans="1:14" x14ac:dyDescent="0.45">
      <c r="A607" s="4">
        <v>45758</v>
      </c>
      <c r="B607" s="4">
        <v>45762</v>
      </c>
      <c r="C607" s="5">
        <v>5401</v>
      </c>
      <c r="D607" s="9" t="s">
        <v>180</v>
      </c>
      <c r="E607" s="5" t="s">
        <v>68</v>
      </c>
      <c r="F607" s="5" t="s">
        <v>175</v>
      </c>
      <c r="G607" s="5" t="s">
        <v>30</v>
      </c>
      <c r="H607" s="5">
        <v>100</v>
      </c>
      <c r="I607" s="12">
        <v>2936.5</v>
      </c>
      <c r="J607" s="9">
        <v>0</v>
      </c>
      <c r="K607" s="14">
        <v>0</v>
      </c>
      <c r="L607" s="21" t="s">
        <v>177</v>
      </c>
      <c r="M607" s="15">
        <f t="shared" si="15"/>
        <v>293650</v>
      </c>
      <c r="N607" s="19">
        <v>0</v>
      </c>
    </row>
    <row r="608" spans="1:14" x14ac:dyDescent="0.45">
      <c r="A608" s="4">
        <v>45758</v>
      </c>
      <c r="B608" s="4">
        <v>45762</v>
      </c>
      <c r="C608" s="5">
        <v>9531</v>
      </c>
      <c r="D608" s="9" t="s">
        <v>263</v>
      </c>
      <c r="E608" s="5" t="s">
        <v>68</v>
      </c>
      <c r="F608" s="5" t="s">
        <v>175</v>
      </c>
      <c r="G608" s="5" t="s">
        <v>30</v>
      </c>
      <c r="H608" s="5">
        <v>100</v>
      </c>
      <c r="I608" s="12">
        <v>4640</v>
      </c>
      <c r="J608" s="9">
        <v>0</v>
      </c>
      <c r="K608" s="14">
        <v>0</v>
      </c>
      <c r="L608" s="21" t="s">
        <v>177</v>
      </c>
      <c r="M608" s="15">
        <f t="shared" si="15"/>
        <v>464000</v>
      </c>
      <c r="N608" s="19">
        <v>0</v>
      </c>
    </row>
    <row r="609" spans="1:14" x14ac:dyDescent="0.45">
      <c r="A609" s="4">
        <v>45761</v>
      </c>
      <c r="B609" s="4">
        <v>45763</v>
      </c>
      <c r="C609" s="5">
        <v>7832</v>
      </c>
      <c r="D609" s="9" t="s">
        <v>332</v>
      </c>
      <c r="E609" s="5" t="s">
        <v>68</v>
      </c>
      <c r="F609" s="5" t="s">
        <v>175</v>
      </c>
      <c r="G609" s="5" t="s">
        <v>30</v>
      </c>
      <c r="H609" s="5">
        <v>100</v>
      </c>
      <c r="I609" s="28">
        <v>4834</v>
      </c>
      <c r="J609" s="9">
        <v>0</v>
      </c>
      <c r="K609" s="14">
        <v>0</v>
      </c>
      <c r="L609" s="21" t="s">
        <v>333</v>
      </c>
      <c r="M609" s="15">
        <f t="shared" si="15"/>
        <v>483400</v>
      </c>
      <c r="N609" s="19">
        <v>0</v>
      </c>
    </row>
    <row r="610" spans="1:14" x14ac:dyDescent="0.45">
      <c r="A610" s="4">
        <v>45761</v>
      </c>
      <c r="B610" s="4">
        <v>45763</v>
      </c>
      <c r="C610" s="5">
        <v>7012</v>
      </c>
      <c r="D610" s="9" t="s">
        <v>183</v>
      </c>
      <c r="E610" s="5" t="s">
        <v>68</v>
      </c>
      <c r="F610" s="5" t="s">
        <v>175</v>
      </c>
      <c r="G610" s="5" t="s">
        <v>178</v>
      </c>
      <c r="H610" s="5">
        <v>100</v>
      </c>
      <c r="I610" s="28">
        <v>7552</v>
      </c>
      <c r="J610" s="9">
        <v>0</v>
      </c>
      <c r="K610" s="14">
        <v>0</v>
      </c>
      <c r="L610" s="19" t="s">
        <v>90</v>
      </c>
      <c r="M610" s="15">
        <f t="shared" si="15"/>
        <v>755200</v>
      </c>
      <c r="N610" s="19">
        <v>42900</v>
      </c>
    </row>
    <row r="611" spans="1:14" x14ac:dyDescent="0.45">
      <c r="A611" s="4">
        <v>45763</v>
      </c>
      <c r="B611" s="4">
        <v>45765</v>
      </c>
      <c r="C611" s="5">
        <v>9468</v>
      </c>
      <c r="D611" s="9" t="s">
        <v>334</v>
      </c>
      <c r="E611" s="5" t="s">
        <v>68</v>
      </c>
      <c r="F611" s="5" t="s">
        <v>175</v>
      </c>
      <c r="G611" s="5" t="s">
        <v>30</v>
      </c>
      <c r="H611" s="5">
        <v>100</v>
      </c>
      <c r="I611" s="28">
        <v>3836</v>
      </c>
      <c r="J611" s="9">
        <v>0</v>
      </c>
      <c r="K611" s="14">
        <v>0</v>
      </c>
      <c r="L611" s="21" t="s">
        <v>335</v>
      </c>
      <c r="M611" s="15">
        <f t="shared" si="15"/>
        <v>383600</v>
      </c>
      <c r="N611" s="19">
        <v>0</v>
      </c>
    </row>
    <row r="612" spans="1:14" x14ac:dyDescent="0.45">
      <c r="A612" s="4">
        <v>45765</v>
      </c>
      <c r="B612" s="4">
        <v>45769</v>
      </c>
      <c r="C612" s="5">
        <v>7832</v>
      </c>
      <c r="D612" s="9" t="s">
        <v>332</v>
      </c>
      <c r="E612" s="5" t="s">
        <v>68</v>
      </c>
      <c r="F612" s="5" t="s">
        <v>175</v>
      </c>
      <c r="G612" s="5" t="s">
        <v>30</v>
      </c>
      <c r="H612" s="5">
        <v>100</v>
      </c>
      <c r="I612" s="28">
        <v>5045</v>
      </c>
      <c r="J612" s="9">
        <v>0</v>
      </c>
      <c r="K612" s="14">
        <v>0</v>
      </c>
      <c r="L612" s="21" t="s">
        <v>335</v>
      </c>
      <c r="M612" s="15">
        <f t="shared" si="15"/>
        <v>504500</v>
      </c>
      <c r="N612" s="19">
        <v>0</v>
      </c>
    </row>
    <row r="613" spans="1:14" x14ac:dyDescent="0.45">
      <c r="A613" s="4">
        <v>45770</v>
      </c>
      <c r="B613" s="4">
        <v>45772</v>
      </c>
      <c r="C613" s="5">
        <v>5401</v>
      </c>
      <c r="D613" s="9" t="s">
        <v>180</v>
      </c>
      <c r="E613" s="5" t="s">
        <v>68</v>
      </c>
      <c r="F613" s="5" t="s">
        <v>175</v>
      </c>
      <c r="G613" s="5" t="s">
        <v>178</v>
      </c>
      <c r="H613" s="5">
        <v>100</v>
      </c>
      <c r="I613" s="28">
        <v>2953</v>
      </c>
      <c r="J613" s="9">
        <v>0</v>
      </c>
      <c r="K613" s="14">
        <v>0</v>
      </c>
      <c r="L613" s="19" t="s">
        <v>90</v>
      </c>
      <c r="M613" s="15">
        <f t="shared" si="15"/>
        <v>295300</v>
      </c>
      <c r="N613" s="19">
        <v>1600</v>
      </c>
    </row>
    <row r="614" spans="1:14" x14ac:dyDescent="0.45">
      <c r="A614" s="4">
        <v>45770</v>
      </c>
      <c r="B614" s="4">
        <v>45772</v>
      </c>
      <c r="C614" s="5">
        <v>7832</v>
      </c>
      <c r="D614" s="9" t="s">
        <v>332</v>
      </c>
      <c r="E614" s="5" t="s">
        <v>68</v>
      </c>
      <c r="F614" s="5" t="s">
        <v>175</v>
      </c>
      <c r="G614" s="5" t="s">
        <v>178</v>
      </c>
      <c r="H614" s="5">
        <v>100</v>
      </c>
      <c r="I614" s="28">
        <v>4945</v>
      </c>
      <c r="J614" s="9">
        <v>0</v>
      </c>
      <c r="K614" s="14">
        <v>0</v>
      </c>
      <c r="L614" s="19" t="s">
        <v>90</v>
      </c>
      <c r="M614" s="15">
        <f t="shared" si="15"/>
        <v>494500</v>
      </c>
      <c r="N614" s="19">
        <v>500</v>
      </c>
    </row>
    <row r="615" spans="1:14" x14ac:dyDescent="0.45">
      <c r="A615" s="4">
        <v>45770</v>
      </c>
      <c r="B615" s="4">
        <v>45772</v>
      </c>
      <c r="C615" s="5">
        <v>8766</v>
      </c>
      <c r="D615" s="9" t="s">
        <v>44</v>
      </c>
      <c r="E615" s="5" t="s">
        <v>68</v>
      </c>
      <c r="F615" s="5" t="s">
        <v>175</v>
      </c>
      <c r="G615" s="5" t="s">
        <v>178</v>
      </c>
      <c r="H615" s="5">
        <v>100</v>
      </c>
      <c r="I615" s="28">
        <v>5383</v>
      </c>
      <c r="J615" s="9">
        <v>0</v>
      </c>
      <c r="K615" s="14">
        <v>0</v>
      </c>
      <c r="L615" s="19" t="s">
        <v>90</v>
      </c>
      <c r="M615" s="15">
        <f t="shared" si="15"/>
        <v>538300</v>
      </c>
      <c r="N615" s="19">
        <v>24800</v>
      </c>
    </row>
    <row r="616" spans="1:14" x14ac:dyDescent="0.45">
      <c r="A616" s="4">
        <v>45770</v>
      </c>
      <c r="B616" s="4">
        <v>45772</v>
      </c>
      <c r="C616" s="5">
        <v>9104</v>
      </c>
      <c r="D616" s="9" t="s">
        <v>91</v>
      </c>
      <c r="E616" s="5" t="s">
        <v>68</v>
      </c>
      <c r="F616" s="5" t="s">
        <v>175</v>
      </c>
      <c r="G616" s="5" t="s">
        <v>178</v>
      </c>
      <c r="H616" s="5">
        <v>100</v>
      </c>
      <c r="I616" s="28">
        <v>4963</v>
      </c>
      <c r="J616" s="9">
        <v>0</v>
      </c>
      <c r="K616" s="14">
        <v>0</v>
      </c>
      <c r="L616" s="19" t="s">
        <v>90</v>
      </c>
      <c r="M616" s="15">
        <f t="shared" si="15"/>
        <v>496300</v>
      </c>
      <c r="N616" s="19">
        <v>1800</v>
      </c>
    </row>
    <row r="617" spans="1:14" x14ac:dyDescent="0.45">
      <c r="A617" s="4">
        <v>45770</v>
      </c>
      <c r="B617" s="4">
        <v>45772</v>
      </c>
      <c r="C617" s="5">
        <v>9531</v>
      </c>
      <c r="D617" s="9" t="s">
        <v>263</v>
      </c>
      <c r="E617" s="5" t="s">
        <v>68</v>
      </c>
      <c r="F617" s="5" t="s">
        <v>175</v>
      </c>
      <c r="G617" s="5" t="s">
        <v>178</v>
      </c>
      <c r="H617" s="5">
        <v>100</v>
      </c>
      <c r="I617" s="28">
        <v>4773</v>
      </c>
      <c r="J617" s="9">
        <v>0</v>
      </c>
      <c r="K617" s="14">
        <v>0</v>
      </c>
      <c r="L617" s="19" t="s">
        <v>90</v>
      </c>
      <c r="M617" s="15">
        <f t="shared" si="15"/>
        <v>477300</v>
      </c>
      <c r="N617" s="19">
        <v>13300</v>
      </c>
    </row>
    <row r="618" spans="1:14" x14ac:dyDescent="0.45">
      <c r="A618" s="4">
        <v>45771</v>
      </c>
      <c r="B618" s="4">
        <v>45775</v>
      </c>
      <c r="C618" s="5">
        <v>2432</v>
      </c>
      <c r="D618" s="9" t="s">
        <v>246</v>
      </c>
      <c r="E618" s="5" t="s">
        <v>68</v>
      </c>
      <c r="F618" s="5" t="s">
        <v>175</v>
      </c>
      <c r="G618" s="5" t="s">
        <v>178</v>
      </c>
      <c r="H618" s="5">
        <v>100</v>
      </c>
      <c r="I618" s="28">
        <v>3655</v>
      </c>
      <c r="J618" s="9">
        <v>0</v>
      </c>
      <c r="K618" s="14">
        <v>0</v>
      </c>
      <c r="L618" s="19" t="s">
        <v>90</v>
      </c>
      <c r="M618" s="15">
        <f t="shared" si="15"/>
        <v>365500</v>
      </c>
      <c r="N618" s="19">
        <v>3700</v>
      </c>
    </row>
    <row r="619" spans="1:14" x14ac:dyDescent="0.45">
      <c r="A619" s="4">
        <v>45772</v>
      </c>
      <c r="B619" s="4">
        <v>45777</v>
      </c>
      <c r="C619" s="5">
        <v>2914</v>
      </c>
      <c r="D619" s="9" t="s">
        <v>107</v>
      </c>
      <c r="E619" s="5" t="s">
        <v>68</v>
      </c>
      <c r="F619" s="5" t="s">
        <v>175</v>
      </c>
      <c r="G619" s="5" t="s">
        <v>178</v>
      </c>
      <c r="H619" s="5">
        <v>100</v>
      </c>
      <c r="I619" s="12">
        <v>4349</v>
      </c>
      <c r="J619" s="9">
        <v>0</v>
      </c>
      <c r="K619" s="14">
        <v>0</v>
      </c>
      <c r="L619" s="19" t="s">
        <v>90</v>
      </c>
      <c r="M619" s="15">
        <f t="shared" si="15"/>
        <v>434900</v>
      </c>
      <c r="N619" s="19">
        <v>14000</v>
      </c>
    </row>
    <row r="620" spans="1:14" x14ac:dyDescent="0.45">
      <c r="A620" s="4">
        <v>45772</v>
      </c>
      <c r="B620" s="4">
        <v>45777</v>
      </c>
      <c r="C620" s="5">
        <v>7974</v>
      </c>
      <c r="D620" s="9" t="s">
        <v>174</v>
      </c>
      <c r="E620" s="5" t="s">
        <v>68</v>
      </c>
      <c r="F620" s="5" t="s">
        <v>175</v>
      </c>
      <c r="G620" s="5" t="s">
        <v>178</v>
      </c>
      <c r="H620" s="5">
        <v>100</v>
      </c>
      <c r="I620" s="12">
        <v>11380</v>
      </c>
      <c r="J620" s="9">
        <v>0</v>
      </c>
      <c r="K620" s="14">
        <v>0</v>
      </c>
      <c r="L620" s="19" t="s">
        <v>90</v>
      </c>
      <c r="M620" s="15">
        <f t="shared" si="15"/>
        <v>1138000</v>
      </c>
      <c r="N620" s="19">
        <v>28000</v>
      </c>
    </row>
    <row r="621" spans="1:14" x14ac:dyDescent="0.45">
      <c r="A621" s="4">
        <v>45779</v>
      </c>
      <c r="B621" s="4">
        <v>45785</v>
      </c>
      <c r="C621" s="5">
        <v>7832</v>
      </c>
      <c r="D621" s="9" t="s">
        <v>332</v>
      </c>
      <c r="E621" s="5" t="s">
        <v>68</v>
      </c>
      <c r="F621" s="5" t="s">
        <v>175</v>
      </c>
      <c r="G621" s="5" t="s">
        <v>178</v>
      </c>
      <c r="H621" s="5">
        <v>100</v>
      </c>
      <c r="I621" s="28">
        <v>5060</v>
      </c>
      <c r="J621" s="9">
        <v>0</v>
      </c>
      <c r="K621" s="14">
        <v>0</v>
      </c>
      <c r="L621" s="19" t="s">
        <v>90</v>
      </c>
      <c r="M621" s="15">
        <f t="shared" si="15"/>
        <v>506000</v>
      </c>
      <c r="N621" s="19">
        <v>12000</v>
      </c>
    </row>
    <row r="622" spans="1:14" x14ac:dyDescent="0.45">
      <c r="A622" s="4">
        <v>45784</v>
      </c>
      <c r="B622" s="4">
        <v>45786</v>
      </c>
      <c r="C622" s="5">
        <v>9602</v>
      </c>
      <c r="D622" s="9" t="s">
        <v>131</v>
      </c>
      <c r="E622" s="5" t="s">
        <v>68</v>
      </c>
      <c r="F622" s="5" t="s">
        <v>175</v>
      </c>
      <c r="G622" s="5" t="s">
        <v>30</v>
      </c>
      <c r="H622" s="5">
        <v>100</v>
      </c>
      <c r="I622" s="28">
        <v>7738</v>
      </c>
      <c r="J622" s="9">
        <v>0</v>
      </c>
      <c r="K622" s="14">
        <v>0</v>
      </c>
      <c r="L622" s="21" t="s">
        <v>336</v>
      </c>
      <c r="M622" s="15">
        <f t="shared" si="15"/>
        <v>773800</v>
      </c>
      <c r="N622" s="19">
        <v>0</v>
      </c>
    </row>
    <row r="623" spans="1:14" x14ac:dyDescent="0.45">
      <c r="A623" s="4">
        <v>45793</v>
      </c>
      <c r="B623" s="4">
        <v>45797</v>
      </c>
      <c r="C623" s="5">
        <v>9468</v>
      </c>
      <c r="D623" s="9" t="s">
        <v>334</v>
      </c>
      <c r="E623" s="5" t="s">
        <v>68</v>
      </c>
      <c r="F623" s="5" t="s">
        <v>175</v>
      </c>
      <c r="G623" s="5" t="s">
        <v>178</v>
      </c>
      <c r="H623" s="5">
        <v>100</v>
      </c>
      <c r="I623" s="28">
        <v>4016</v>
      </c>
      <c r="J623" s="9">
        <v>0</v>
      </c>
      <c r="K623" s="14">
        <v>0</v>
      </c>
      <c r="L623" s="19" t="s">
        <v>90</v>
      </c>
      <c r="M623" s="15">
        <f t="shared" si="15"/>
        <v>401600</v>
      </c>
      <c r="N623" s="19">
        <v>18000</v>
      </c>
    </row>
    <row r="624" spans="1:14" x14ac:dyDescent="0.45">
      <c r="A624" s="4">
        <v>45800</v>
      </c>
      <c r="B624" s="4">
        <v>45804</v>
      </c>
      <c r="C624" s="5">
        <v>7012</v>
      </c>
      <c r="D624" s="9" t="s">
        <v>183</v>
      </c>
      <c r="E624" s="5" t="s">
        <v>68</v>
      </c>
      <c r="F624" s="5" t="s">
        <v>175</v>
      </c>
      <c r="G624" s="5" t="s">
        <v>30</v>
      </c>
      <c r="H624" s="5">
        <v>100</v>
      </c>
      <c r="I624" s="28">
        <v>9152</v>
      </c>
      <c r="J624" s="9">
        <v>0</v>
      </c>
      <c r="K624" s="14">
        <v>0</v>
      </c>
      <c r="L624" s="21" t="s">
        <v>337</v>
      </c>
      <c r="M624" s="15">
        <f t="shared" si="15"/>
        <v>915200</v>
      </c>
      <c r="N624" s="19">
        <v>0</v>
      </c>
    </row>
    <row r="625" spans="1:14" x14ac:dyDescent="0.45">
      <c r="A625" s="4">
        <v>45803</v>
      </c>
      <c r="B625" s="4">
        <v>45805</v>
      </c>
      <c r="C625" s="5">
        <v>7974</v>
      </c>
      <c r="D625" s="9" t="s">
        <v>174</v>
      </c>
      <c r="E625" s="5" t="s">
        <v>68</v>
      </c>
      <c r="F625" s="5" t="s">
        <v>175</v>
      </c>
      <c r="G625" s="5" t="s">
        <v>30</v>
      </c>
      <c r="H625" s="5">
        <v>100</v>
      </c>
      <c r="I625" s="28">
        <v>11785</v>
      </c>
      <c r="J625" s="9">
        <v>0</v>
      </c>
      <c r="K625" s="14">
        <v>0</v>
      </c>
      <c r="L625" s="21" t="s">
        <v>177</v>
      </c>
      <c r="M625" s="15">
        <f t="shared" si="15"/>
        <v>1178500</v>
      </c>
      <c r="N625" s="19">
        <v>0</v>
      </c>
    </row>
    <row r="626" spans="1:14" x14ac:dyDescent="0.45">
      <c r="A626" s="4">
        <v>45805</v>
      </c>
      <c r="B626" s="4">
        <v>45807</v>
      </c>
      <c r="C626" s="5">
        <v>5393</v>
      </c>
      <c r="D626" s="9" t="s">
        <v>190</v>
      </c>
      <c r="E626" s="5" t="s">
        <v>68</v>
      </c>
      <c r="F626" s="5" t="s">
        <v>175</v>
      </c>
      <c r="G626" s="5" t="s">
        <v>30</v>
      </c>
      <c r="H626" s="5">
        <v>100</v>
      </c>
      <c r="I626" s="28">
        <v>4930</v>
      </c>
      <c r="J626" s="9">
        <v>0</v>
      </c>
      <c r="K626" s="14">
        <v>0</v>
      </c>
      <c r="L626" s="21" t="s">
        <v>338</v>
      </c>
      <c r="M626" s="15">
        <f t="shared" si="15"/>
        <v>493000</v>
      </c>
      <c r="N626" s="19">
        <v>0</v>
      </c>
    </row>
    <row r="627" spans="1:14" x14ac:dyDescent="0.45">
      <c r="A627" s="4">
        <v>45805</v>
      </c>
      <c r="B627" s="4">
        <v>45807</v>
      </c>
      <c r="C627" s="5">
        <v>7012</v>
      </c>
      <c r="D627" s="9" t="s">
        <v>183</v>
      </c>
      <c r="E627" s="5" t="s">
        <v>68</v>
      </c>
      <c r="F627" s="5" t="s">
        <v>175</v>
      </c>
      <c r="G627" s="5" t="s">
        <v>178</v>
      </c>
      <c r="H627" s="5">
        <v>100</v>
      </c>
      <c r="I627" s="28">
        <v>9962</v>
      </c>
      <c r="J627" s="9">
        <v>0</v>
      </c>
      <c r="K627" s="14">
        <v>0</v>
      </c>
      <c r="L627" s="19" t="s">
        <v>90</v>
      </c>
      <c r="M627" s="15">
        <f t="shared" si="15"/>
        <v>996200</v>
      </c>
      <c r="N627" s="19">
        <v>81000</v>
      </c>
    </row>
    <row r="628" spans="1:14" x14ac:dyDescent="0.45">
      <c r="A628" s="4">
        <v>45805</v>
      </c>
      <c r="B628" s="4">
        <v>45807</v>
      </c>
      <c r="C628" s="5">
        <v>9602</v>
      </c>
      <c r="D628" s="9" t="s">
        <v>131</v>
      </c>
      <c r="E628" s="5" t="s">
        <v>68</v>
      </c>
      <c r="F628" s="5" t="s">
        <v>175</v>
      </c>
      <c r="G628" s="5" t="s">
        <v>30</v>
      </c>
      <c r="H628" s="5">
        <v>100</v>
      </c>
      <c r="I628" s="28">
        <v>7770</v>
      </c>
      <c r="J628" s="9">
        <v>0</v>
      </c>
      <c r="K628" s="14">
        <v>0</v>
      </c>
      <c r="L628" s="21" t="s">
        <v>338</v>
      </c>
      <c r="M628" s="15">
        <f t="shared" si="15"/>
        <v>777000</v>
      </c>
      <c r="N628" s="19">
        <v>0</v>
      </c>
    </row>
    <row r="629" spans="1:14" x14ac:dyDescent="0.45">
      <c r="A629" s="4">
        <v>45806</v>
      </c>
      <c r="B629" s="4">
        <v>45810</v>
      </c>
      <c r="C629" s="5">
        <v>7974</v>
      </c>
      <c r="D629" s="9" t="s">
        <v>174</v>
      </c>
      <c r="E629" s="5" t="s">
        <v>68</v>
      </c>
      <c r="F629" s="5" t="s">
        <v>175</v>
      </c>
      <c r="G629" s="5" t="s">
        <v>178</v>
      </c>
      <c r="H629" s="5">
        <v>100</v>
      </c>
      <c r="I629" s="28">
        <v>12315</v>
      </c>
      <c r="J629" s="9">
        <v>0</v>
      </c>
      <c r="K629" s="14">
        <v>0</v>
      </c>
      <c r="L629" s="19" t="s">
        <v>90</v>
      </c>
      <c r="M629" s="15">
        <f t="shared" si="15"/>
        <v>1231500</v>
      </c>
      <c r="N629" s="19">
        <v>53000</v>
      </c>
    </row>
    <row r="630" spans="1:14" x14ac:dyDescent="0.45">
      <c r="A630" s="4">
        <v>45812</v>
      </c>
      <c r="B630" s="4">
        <v>45814</v>
      </c>
      <c r="C630" s="5">
        <v>4063</v>
      </c>
      <c r="D630" s="9" t="s">
        <v>100</v>
      </c>
      <c r="E630" s="5" t="s">
        <v>68</v>
      </c>
      <c r="F630" s="5" t="s">
        <v>175</v>
      </c>
      <c r="G630" s="5" t="s">
        <v>30</v>
      </c>
      <c r="H630" s="5">
        <v>100</v>
      </c>
      <c r="I630" s="28">
        <v>4570</v>
      </c>
      <c r="J630" s="9">
        <v>0</v>
      </c>
      <c r="K630" s="14">
        <v>0</v>
      </c>
      <c r="L630" s="21" t="s">
        <v>340</v>
      </c>
      <c r="M630" s="15">
        <f t="shared" si="15"/>
        <v>457000</v>
      </c>
      <c r="N630" s="19">
        <v>0</v>
      </c>
    </row>
    <row r="631" spans="1:14" x14ac:dyDescent="0.45">
      <c r="A631" s="4">
        <v>45812</v>
      </c>
      <c r="B631" s="4">
        <v>45814</v>
      </c>
      <c r="C631" s="5">
        <v>2802</v>
      </c>
      <c r="D631" s="9" t="s">
        <v>339</v>
      </c>
      <c r="E631" s="5" t="s">
        <v>68</v>
      </c>
      <c r="F631" s="5" t="s">
        <v>175</v>
      </c>
      <c r="G631" s="5" t="s">
        <v>30</v>
      </c>
      <c r="H631" s="5">
        <v>100</v>
      </c>
      <c r="I631" s="28">
        <v>3639</v>
      </c>
      <c r="J631" s="9">
        <v>0</v>
      </c>
      <c r="K631" s="14">
        <v>0</v>
      </c>
      <c r="L631" s="21" t="s">
        <v>340</v>
      </c>
      <c r="M631" s="15">
        <f t="shared" si="15"/>
        <v>363900</v>
      </c>
      <c r="N631" s="19">
        <v>0</v>
      </c>
    </row>
    <row r="632" spans="1:14" x14ac:dyDescent="0.45">
      <c r="A632" s="4">
        <v>45814</v>
      </c>
      <c r="B632" s="4">
        <v>45818</v>
      </c>
      <c r="C632" s="5">
        <v>5803</v>
      </c>
      <c r="D632" s="9" t="s">
        <v>309</v>
      </c>
      <c r="E632" s="5" t="s">
        <v>68</v>
      </c>
      <c r="F632" s="5" t="s">
        <v>175</v>
      </c>
      <c r="G632" s="5" t="s">
        <v>30</v>
      </c>
      <c r="H632" s="5">
        <v>100</v>
      </c>
      <c r="I632" s="25">
        <v>6897</v>
      </c>
      <c r="J632" s="9">
        <v>0</v>
      </c>
      <c r="K632" s="14">
        <v>0</v>
      </c>
      <c r="L632" s="21" t="s">
        <v>340</v>
      </c>
      <c r="M632" s="15">
        <f t="shared" si="15"/>
        <v>689700</v>
      </c>
      <c r="N632" s="19">
        <v>0</v>
      </c>
    </row>
    <row r="633" spans="1:14" x14ac:dyDescent="0.45">
      <c r="A633" s="4">
        <v>45814</v>
      </c>
      <c r="B633" s="4">
        <v>45818</v>
      </c>
      <c r="C633" s="5">
        <v>3397</v>
      </c>
      <c r="D633" s="9" t="s">
        <v>110</v>
      </c>
      <c r="E633" s="5" t="s">
        <v>68</v>
      </c>
      <c r="F633" s="5" t="s">
        <v>175</v>
      </c>
      <c r="G633" s="5" t="s">
        <v>30</v>
      </c>
      <c r="H633" s="5">
        <v>100</v>
      </c>
      <c r="I633" s="25">
        <v>4120</v>
      </c>
      <c r="J633" s="9">
        <v>0</v>
      </c>
      <c r="K633" s="14">
        <v>0</v>
      </c>
      <c r="L633" s="21" t="s">
        <v>340</v>
      </c>
      <c r="M633" s="15">
        <f t="shared" si="15"/>
        <v>412000</v>
      </c>
      <c r="N633" s="19">
        <v>0</v>
      </c>
    </row>
    <row r="634" spans="1:14" x14ac:dyDescent="0.45">
      <c r="A634" s="4">
        <v>45817</v>
      </c>
      <c r="B634" s="4">
        <v>45819</v>
      </c>
      <c r="C634" s="5">
        <v>2802</v>
      </c>
      <c r="D634" s="9" t="s">
        <v>202</v>
      </c>
      <c r="E634" s="5" t="s">
        <v>68</v>
      </c>
      <c r="F634" s="5" t="s">
        <v>175</v>
      </c>
      <c r="G634" s="5" t="s">
        <v>178</v>
      </c>
      <c r="H634" s="5">
        <v>100</v>
      </c>
      <c r="I634" s="28">
        <v>3655</v>
      </c>
      <c r="J634" s="9">
        <v>0</v>
      </c>
      <c r="K634" s="14">
        <v>0</v>
      </c>
      <c r="L634" s="19" t="s">
        <v>90</v>
      </c>
      <c r="M634" s="15">
        <f t="shared" si="15"/>
        <v>365500</v>
      </c>
      <c r="N634" s="19">
        <v>1600</v>
      </c>
    </row>
    <row r="635" spans="1:14" x14ac:dyDescent="0.45">
      <c r="A635" s="4">
        <v>45817</v>
      </c>
      <c r="B635" s="4">
        <v>45819</v>
      </c>
      <c r="C635" s="5">
        <v>3350</v>
      </c>
      <c r="D635" s="9" t="s">
        <v>341</v>
      </c>
      <c r="E635" s="5" t="s">
        <v>68</v>
      </c>
      <c r="F635" s="5" t="s">
        <v>175</v>
      </c>
      <c r="G635" s="5" t="s">
        <v>30</v>
      </c>
      <c r="H635" s="5">
        <v>100</v>
      </c>
      <c r="I635" s="28">
        <v>1580</v>
      </c>
      <c r="J635" s="9">
        <v>0</v>
      </c>
      <c r="K635" s="14">
        <v>0</v>
      </c>
      <c r="L635" s="21" t="s">
        <v>177</v>
      </c>
      <c r="M635" s="15">
        <f t="shared" si="15"/>
        <v>158000</v>
      </c>
      <c r="N635" s="19">
        <v>0</v>
      </c>
    </row>
    <row r="636" spans="1:14" x14ac:dyDescent="0.45">
      <c r="A636" s="4">
        <v>45817</v>
      </c>
      <c r="B636" s="4">
        <v>45819</v>
      </c>
      <c r="C636" s="5">
        <v>7974</v>
      </c>
      <c r="D636" s="9" t="s">
        <v>174</v>
      </c>
      <c r="E636" s="5" t="s">
        <v>68</v>
      </c>
      <c r="F636" s="5" t="s">
        <v>175</v>
      </c>
      <c r="G636" s="5" t="s">
        <v>30</v>
      </c>
      <c r="H636" s="5">
        <v>100</v>
      </c>
      <c r="I636" s="28">
        <v>11960</v>
      </c>
      <c r="J636" s="9">
        <v>0</v>
      </c>
      <c r="K636" s="14">
        <v>0</v>
      </c>
      <c r="L636" s="21" t="s">
        <v>177</v>
      </c>
      <c r="M636" s="15">
        <f t="shared" si="15"/>
        <v>1196000</v>
      </c>
      <c r="N636" s="19">
        <v>0</v>
      </c>
    </row>
    <row r="637" spans="1:14" x14ac:dyDescent="0.45">
      <c r="A637" s="4">
        <v>45817</v>
      </c>
      <c r="B637" s="4">
        <v>45819</v>
      </c>
      <c r="C637" s="5">
        <v>8136</v>
      </c>
      <c r="D637" s="9" t="s">
        <v>342</v>
      </c>
      <c r="E637" s="5" t="s">
        <v>68</v>
      </c>
      <c r="F637" s="5" t="s">
        <v>175</v>
      </c>
      <c r="G637" s="5" t="s">
        <v>30</v>
      </c>
      <c r="H637" s="5">
        <v>100</v>
      </c>
      <c r="I637" s="28">
        <v>6670</v>
      </c>
      <c r="J637" s="9">
        <v>0</v>
      </c>
      <c r="K637" s="14">
        <v>0</v>
      </c>
      <c r="L637" s="21" t="s">
        <v>177</v>
      </c>
      <c r="M637" s="15">
        <f t="shared" si="15"/>
        <v>667000</v>
      </c>
      <c r="N637" s="19">
        <v>0</v>
      </c>
    </row>
    <row r="638" spans="1:14" x14ac:dyDescent="0.45">
      <c r="A638" s="4">
        <v>45818</v>
      </c>
      <c r="B638" s="4">
        <v>45820</v>
      </c>
      <c r="C638" s="5">
        <v>8136</v>
      </c>
      <c r="D638" s="9" t="s">
        <v>342</v>
      </c>
      <c r="E638" s="5" t="s">
        <v>68</v>
      </c>
      <c r="F638" s="5" t="s">
        <v>175</v>
      </c>
      <c r="G638" s="5" t="s">
        <v>178</v>
      </c>
      <c r="H638" s="5">
        <v>100</v>
      </c>
      <c r="I638" s="28">
        <v>6870</v>
      </c>
      <c r="J638" s="9">
        <v>0</v>
      </c>
      <c r="K638" s="14">
        <v>0</v>
      </c>
      <c r="L638" s="19" t="s">
        <v>90</v>
      </c>
      <c r="M638" s="15">
        <f t="shared" si="15"/>
        <v>687000</v>
      </c>
      <c r="N638" s="19">
        <v>20000</v>
      </c>
    </row>
    <row r="639" spans="1:14" x14ac:dyDescent="0.45">
      <c r="A639" s="4">
        <v>45818</v>
      </c>
      <c r="B639" s="4">
        <v>45820</v>
      </c>
      <c r="C639" s="5">
        <v>4063</v>
      </c>
      <c r="D639" s="9" t="s">
        <v>100</v>
      </c>
      <c r="E639" s="5" t="s">
        <v>68</v>
      </c>
      <c r="F639" s="5" t="s">
        <v>175</v>
      </c>
      <c r="G639" s="5" t="s">
        <v>178</v>
      </c>
      <c r="H639" s="5">
        <v>100</v>
      </c>
      <c r="I639" s="28">
        <v>4582</v>
      </c>
      <c r="J639" s="9">
        <v>0</v>
      </c>
      <c r="K639" s="14">
        <v>0</v>
      </c>
      <c r="L639" s="19" t="s">
        <v>90</v>
      </c>
      <c r="M639" s="15">
        <f t="shared" si="15"/>
        <v>458200</v>
      </c>
      <c r="N639" s="19">
        <v>1200</v>
      </c>
    </row>
    <row r="640" spans="1:14" x14ac:dyDescent="0.45">
      <c r="A640" s="4">
        <v>45818</v>
      </c>
      <c r="B640" s="4">
        <v>45820</v>
      </c>
      <c r="C640" s="5">
        <v>5803</v>
      </c>
      <c r="D640" s="9" t="s">
        <v>309</v>
      </c>
      <c r="E640" s="5" t="s">
        <v>68</v>
      </c>
      <c r="F640" s="5" t="s">
        <v>175</v>
      </c>
      <c r="G640" s="5" t="s">
        <v>178</v>
      </c>
      <c r="H640" s="5">
        <v>100</v>
      </c>
      <c r="I640" s="28">
        <v>6910</v>
      </c>
      <c r="J640" s="9">
        <v>0</v>
      </c>
      <c r="K640" s="14">
        <v>0</v>
      </c>
      <c r="L640" s="19" t="s">
        <v>90</v>
      </c>
      <c r="M640" s="15">
        <f t="shared" si="15"/>
        <v>691000</v>
      </c>
      <c r="N640" s="19">
        <v>1300</v>
      </c>
    </row>
    <row r="641" spans="1:14" x14ac:dyDescent="0.45">
      <c r="A641" s="4">
        <v>45819</v>
      </c>
      <c r="B641" s="4">
        <v>45821</v>
      </c>
      <c r="C641" s="5">
        <v>2413</v>
      </c>
      <c r="D641" s="9" t="s">
        <v>343</v>
      </c>
      <c r="E641" s="5" t="s">
        <v>68</v>
      </c>
      <c r="F641" s="5" t="s">
        <v>175</v>
      </c>
      <c r="G641" s="5" t="s">
        <v>30</v>
      </c>
      <c r="H641" s="5">
        <v>100</v>
      </c>
      <c r="I641" s="28">
        <v>2111</v>
      </c>
      <c r="J641" s="9">
        <v>0</v>
      </c>
      <c r="K641" s="14">
        <v>0</v>
      </c>
      <c r="L641" s="21" t="s">
        <v>344</v>
      </c>
      <c r="M641" s="15">
        <f t="shared" si="15"/>
        <v>211100</v>
      </c>
      <c r="N641" s="19">
        <v>0</v>
      </c>
    </row>
    <row r="642" spans="1:14" x14ac:dyDescent="0.45">
      <c r="A642" s="4">
        <v>45821</v>
      </c>
      <c r="B642" s="4">
        <v>45825</v>
      </c>
      <c r="C642" s="5">
        <v>5393</v>
      </c>
      <c r="D642" s="9" t="s">
        <v>190</v>
      </c>
      <c r="E642" s="5" t="s">
        <v>68</v>
      </c>
      <c r="F642" s="5" t="s">
        <v>175</v>
      </c>
      <c r="G642" s="5" t="s">
        <v>178</v>
      </c>
      <c r="H642" s="5">
        <v>100</v>
      </c>
      <c r="I642" s="28">
        <v>5082</v>
      </c>
      <c r="J642" s="9">
        <v>0</v>
      </c>
      <c r="K642" s="14">
        <v>0</v>
      </c>
      <c r="L642" s="19" t="s">
        <v>90</v>
      </c>
      <c r="M642" s="15">
        <f t="shared" si="15"/>
        <v>508200</v>
      </c>
      <c r="N642" s="19">
        <v>15200</v>
      </c>
    </row>
    <row r="643" spans="1:14" x14ac:dyDescent="0.45">
      <c r="A643" s="4">
        <v>45821</v>
      </c>
      <c r="B643" s="4">
        <v>45825</v>
      </c>
      <c r="C643" s="5">
        <v>9602</v>
      </c>
      <c r="D643" s="9" t="s">
        <v>131</v>
      </c>
      <c r="E643" s="5" t="s">
        <v>68</v>
      </c>
      <c r="F643" s="5" t="s">
        <v>175</v>
      </c>
      <c r="G643" s="5" t="s">
        <v>178</v>
      </c>
      <c r="H643" s="5">
        <v>100</v>
      </c>
      <c r="I643" s="28">
        <v>7834</v>
      </c>
      <c r="J643" s="9">
        <v>0</v>
      </c>
      <c r="K643" s="14">
        <v>0</v>
      </c>
      <c r="L643" s="19" t="s">
        <v>90</v>
      </c>
      <c r="M643" s="15">
        <f t="shared" si="15"/>
        <v>783400</v>
      </c>
      <c r="N643" s="19">
        <v>8000</v>
      </c>
    </row>
    <row r="644" spans="1:14" x14ac:dyDescent="0.45">
      <c r="A644" s="4">
        <v>45821</v>
      </c>
      <c r="B644" s="4">
        <v>45825</v>
      </c>
      <c r="C644" s="5">
        <v>9602</v>
      </c>
      <c r="D644" s="9" t="s">
        <v>131</v>
      </c>
      <c r="E644" s="5" t="s">
        <v>68</v>
      </c>
      <c r="F644" s="5" t="s">
        <v>175</v>
      </c>
      <c r="G644" s="5" t="s">
        <v>178</v>
      </c>
      <c r="H644" s="5">
        <v>100</v>
      </c>
      <c r="I644" s="28">
        <v>7833</v>
      </c>
      <c r="J644" s="9">
        <v>0</v>
      </c>
      <c r="K644" s="14">
        <v>0</v>
      </c>
      <c r="L644" s="19" t="s">
        <v>90</v>
      </c>
      <c r="M644" s="15">
        <f t="shared" si="15"/>
        <v>783300</v>
      </c>
      <c r="N644" s="19">
        <v>7900</v>
      </c>
    </row>
    <row r="645" spans="1:14" x14ac:dyDescent="0.45">
      <c r="A645" s="4">
        <v>45821</v>
      </c>
      <c r="B645" s="4">
        <v>45825</v>
      </c>
      <c r="C645" s="5">
        <v>7012</v>
      </c>
      <c r="D645" s="9" t="s">
        <v>183</v>
      </c>
      <c r="E645" s="5" t="s">
        <v>68</v>
      </c>
      <c r="F645" s="5" t="s">
        <v>175</v>
      </c>
      <c r="G645" s="5" t="s">
        <v>30</v>
      </c>
      <c r="H645" s="5">
        <v>100</v>
      </c>
      <c r="I645" s="28">
        <v>10515</v>
      </c>
      <c r="J645" s="9">
        <v>0</v>
      </c>
      <c r="K645" s="9">
        <v>0</v>
      </c>
      <c r="L645" s="19" t="s">
        <v>346</v>
      </c>
      <c r="M645" s="15">
        <f t="shared" si="15"/>
        <v>1051500</v>
      </c>
      <c r="N645" s="19">
        <v>0</v>
      </c>
    </row>
    <row r="646" spans="1:14" x14ac:dyDescent="0.45">
      <c r="A646" s="4">
        <v>45821</v>
      </c>
      <c r="B646" s="4">
        <v>45825</v>
      </c>
      <c r="C646" s="5">
        <v>7012</v>
      </c>
      <c r="D646" s="9" t="s">
        <v>183</v>
      </c>
      <c r="E646" s="5" t="s">
        <v>68</v>
      </c>
      <c r="F646" s="5" t="s">
        <v>175</v>
      </c>
      <c r="G646" s="5" t="s">
        <v>178</v>
      </c>
      <c r="H646" s="5">
        <v>100</v>
      </c>
      <c r="I646" s="28">
        <v>10530</v>
      </c>
      <c r="J646" s="9">
        <v>0</v>
      </c>
      <c r="K646" s="9">
        <v>0</v>
      </c>
      <c r="L646" s="19" t="s">
        <v>90</v>
      </c>
      <c r="M646" s="15">
        <f t="shared" si="15"/>
        <v>1053000</v>
      </c>
      <c r="N646" s="19">
        <v>1500</v>
      </c>
    </row>
    <row r="647" spans="1:14" x14ac:dyDescent="0.45">
      <c r="A647" s="4">
        <v>45824</v>
      </c>
      <c r="B647" s="4">
        <v>45826</v>
      </c>
      <c r="C647" s="5">
        <v>3350</v>
      </c>
      <c r="D647" s="9" t="s">
        <v>341</v>
      </c>
      <c r="E647" s="5" t="s">
        <v>68</v>
      </c>
      <c r="F647" s="5" t="s">
        <v>175</v>
      </c>
      <c r="G647" s="5" t="s">
        <v>178</v>
      </c>
      <c r="H647" s="5">
        <v>100</v>
      </c>
      <c r="I647" s="28">
        <v>1656</v>
      </c>
      <c r="J647" s="9">
        <v>0</v>
      </c>
      <c r="K647" s="9">
        <v>0</v>
      </c>
      <c r="L647" s="19" t="s">
        <v>90</v>
      </c>
      <c r="M647" s="15">
        <f t="shared" si="15"/>
        <v>165600</v>
      </c>
      <c r="N647" s="19">
        <v>7600</v>
      </c>
    </row>
    <row r="648" spans="1:14" x14ac:dyDescent="0.45">
      <c r="A648" s="4">
        <v>45824</v>
      </c>
      <c r="B648" s="4">
        <v>45826</v>
      </c>
      <c r="C648" s="5">
        <v>7974</v>
      </c>
      <c r="D648" s="9" t="s">
        <v>174</v>
      </c>
      <c r="E648" s="5" t="s">
        <v>68</v>
      </c>
      <c r="F648" s="5" t="s">
        <v>175</v>
      </c>
      <c r="G648" s="5" t="s">
        <v>178</v>
      </c>
      <c r="H648" s="5">
        <v>100</v>
      </c>
      <c r="I648" s="28">
        <v>12015</v>
      </c>
      <c r="J648" s="9">
        <v>0</v>
      </c>
      <c r="K648" s="9">
        <v>0</v>
      </c>
      <c r="L648" s="19" t="s">
        <v>90</v>
      </c>
      <c r="M648" s="15">
        <f t="shared" si="15"/>
        <v>1201500</v>
      </c>
      <c r="N648" s="19">
        <v>5500</v>
      </c>
    </row>
    <row r="649" spans="1:14" x14ac:dyDescent="0.45">
      <c r="A649" s="4">
        <v>45827</v>
      </c>
      <c r="B649" s="4">
        <v>45831</v>
      </c>
      <c r="C649" s="5">
        <v>7867</v>
      </c>
      <c r="D649" s="9" t="s">
        <v>265</v>
      </c>
      <c r="E649" s="5" t="s">
        <v>68</v>
      </c>
      <c r="F649" s="5" t="s">
        <v>175</v>
      </c>
      <c r="G649" s="5" t="s">
        <v>30</v>
      </c>
      <c r="H649" s="5">
        <v>100</v>
      </c>
      <c r="I649" s="28">
        <v>3335</v>
      </c>
      <c r="J649" s="9">
        <v>0</v>
      </c>
      <c r="K649" s="9">
        <v>0</v>
      </c>
      <c r="L649" s="21" t="s">
        <v>348</v>
      </c>
      <c r="M649" s="15">
        <f t="shared" si="15"/>
        <v>333500</v>
      </c>
      <c r="N649" s="19">
        <v>0</v>
      </c>
    </row>
    <row r="650" spans="1:14" x14ac:dyDescent="0.45">
      <c r="A650" s="4">
        <v>45827</v>
      </c>
      <c r="B650" s="4">
        <v>45831</v>
      </c>
      <c r="C650" s="5">
        <v>9878</v>
      </c>
      <c r="D650" s="9" t="s">
        <v>347</v>
      </c>
      <c r="E650" s="5" t="s">
        <v>68</v>
      </c>
      <c r="F650" s="5" t="s">
        <v>175</v>
      </c>
      <c r="G650" s="5" t="s">
        <v>30</v>
      </c>
      <c r="H650" s="5">
        <v>100</v>
      </c>
      <c r="I650" s="28">
        <v>908</v>
      </c>
      <c r="J650" s="9">
        <v>0</v>
      </c>
      <c r="K650" s="9">
        <v>0</v>
      </c>
      <c r="L650" s="21" t="s">
        <v>348</v>
      </c>
      <c r="M650" s="15">
        <f t="shared" si="15"/>
        <v>90800</v>
      </c>
      <c r="N650" s="19">
        <v>0</v>
      </c>
    </row>
    <row r="651" spans="1:14" x14ac:dyDescent="0.45">
      <c r="A651" s="4">
        <v>45828</v>
      </c>
      <c r="B651" s="4">
        <v>45832</v>
      </c>
      <c r="C651" s="5">
        <v>3350</v>
      </c>
      <c r="D651" s="9" t="s">
        <v>341</v>
      </c>
      <c r="E651" s="5" t="s">
        <v>68</v>
      </c>
      <c r="F651" s="5" t="s">
        <v>175</v>
      </c>
      <c r="G651" s="5" t="s">
        <v>30</v>
      </c>
      <c r="H651" s="5">
        <v>100</v>
      </c>
      <c r="I651" s="25">
        <v>1778</v>
      </c>
      <c r="J651" s="9">
        <v>0</v>
      </c>
      <c r="K651" s="9">
        <v>0</v>
      </c>
      <c r="L651" s="21" t="s">
        <v>348</v>
      </c>
      <c r="M651" s="15">
        <f t="shared" si="15"/>
        <v>177800</v>
      </c>
      <c r="N651" s="19">
        <v>0</v>
      </c>
    </row>
    <row r="652" spans="1:14" x14ac:dyDescent="0.45">
      <c r="A652" s="4">
        <v>45828</v>
      </c>
      <c r="B652" s="4">
        <v>45832</v>
      </c>
      <c r="C652" s="5">
        <v>7453</v>
      </c>
      <c r="D652" s="9" t="s">
        <v>349</v>
      </c>
      <c r="E652" s="5" t="s">
        <v>68</v>
      </c>
      <c r="F652" s="5" t="s">
        <v>175</v>
      </c>
      <c r="G652" s="5" t="s">
        <v>30</v>
      </c>
      <c r="H652" s="5">
        <v>100</v>
      </c>
      <c r="I652" s="25">
        <v>6659</v>
      </c>
      <c r="J652" s="9">
        <v>0</v>
      </c>
      <c r="K652" s="9">
        <v>0</v>
      </c>
      <c r="L652" s="21" t="s">
        <v>348</v>
      </c>
      <c r="M652" s="15">
        <f t="shared" si="15"/>
        <v>665900</v>
      </c>
      <c r="N652" s="19">
        <v>0</v>
      </c>
    </row>
    <row r="653" spans="1:14" x14ac:dyDescent="0.45">
      <c r="A653" s="4">
        <v>45828</v>
      </c>
      <c r="B653" s="4">
        <v>45832</v>
      </c>
      <c r="C653" s="5">
        <v>6920</v>
      </c>
      <c r="D653" s="9" t="s">
        <v>350</v>
      </c>
      <c r="E653" s="5" t="s">
        <v>68</v>
      </c>
      <c r="F653" s="5" t="s">
        <v>175</v>
      </c>
      <c r="G653" s="5" t="s">
        <v>30</v>
      </c>
      <c r="H653" s="5">
        <v>100</v>
      </c>
      <c r="I653" s="25">
        <v>16485</v>
      </c>
      <c r="J653" s="9">
        <v>0</v>
      </c>
      <c r="K653" s="9">
        <v>0</v>
      </c>
      <c r="L653" s="21" t="s">
        <v>348</v>
      </c>
      <c r="M653" s="15">
        <f t="shared" si="15"/>
        <v>1648500</v>
      </c>
      <c r="N653" s="19">
        <v>0</v>
      </c>
    </row>
    <row r="654" spans="1:14" x14ac:dyDescent="0.45">
      <c r="A654" s="4">
        <v>45831</v>
      </c>
      <c r="B654" s="4">
        <v>45833</v>
      </c>
      <c r="C654" s="5">
        <v>6232</v>
      </c>
      <c r="D654" s="9" t="s">
        <v>351</v>
      </c>
      <c r="E654" s="5" t="s">
        <v>68</v>
      </c>
      <c r="F654" s="5" t="s">
        <v>175</v>
      </c>
      <c r="G654" s="5" t="s">
        <v>30</v>
      </c>
      <c r="H654" s="5">
        <v>100</v>
      </c>
      <c r="I654" s="28">
        <v>1705</v>
      </c>
      <c r="J654" s="9">
        <v>0</v>
      </c>
      <c r="K654" s="9">
        <v>0</v>
      </c>
      <c r="L654" s="21" t="s">
        <v>352</v>
      </c>
      <c r="M654" s="15">
        <f t="shared" si="15"/>
        <v>170500</v>
      </c>
      <c r="N654" s="19">
        <v>0</v>
      </c>
    </row>
    <row r="655" spans="1:14" x14ac:dyDescent="0.45">
      <c r="A655" s="4">
        <v>45831</v>
      </c>
      <c r="B655" s="4">
        <v>45833</v>
      </c>
      <c r="C655" s="5">
        <v>9878</v>
      </c>
      <c r="D655" s="9" t="s">
        <v>347</v>
      </c>
      <c r="E655" s="5" t="s">
        <v>68</v>
      </c>
      <c r="F655" s="5" t="s">
        <v>175</v>
      </c>
      <c r="G655" s="5" t="s">
        <v>30</v>
      </c>
      <c r="H655" s="5">
        <v>100</v>
      </c>
      <c r="I655" s="28">
        <v>1050</v>
      </c>
      <c r="J655" s="9">
        <v>0</v>
      </c>
      <c r="K655" s="9">
        <v>0</v>
      </c>
      <c r="L655" s="21" t="s">
        <v>352</v>
      </c>
      <c r="M655" s="15">
        <f t="shared" si="15"/>
        <v>105000</v>
      </c>
      <c r="N655" s="19">
        <v>0</v>
      </c>
    </row>
    <row r="656" spans="1:14" x14ac:dyDescent="0.45">
      <c r="A656" s="4">
        <v>45832</v>
      </c>
      <c r="B656" s="4">
        <v>45834</v>
      </c>
      <c r="C656" s="5">
        <v>9878</v>
      </c>
      <c r="D656" s="9" t="s">
        <v>347</v>
      </c>
      <c r="E656" s="5" t="s">
        <v>68</v>
      </c>
      <c r="F656" s="5" t="s">
        <v>175</v>
      </c>
      <c r="G656" s="5" t="s">
        <v>178</v>
      </c>
      <c r="H656" s="5">
        <v>200</v>
      </c>
      <c r="I656" s="28">
        <v>1095</v>
      </c>
      <c r="J656" s="9">
        <v>0</v>
      </c>
      <c r="K656" s="9">
        <v>0</v>
      </c>
      <c r="L656" s="19" t="s">
        <v>90</v>
      </c>
      <c r="M656" s="15">
        <f t="shared" si="15"/>
        <v>219000</v>
      </c>
      <c r="N656" s="19">
        <v>23200</v>
      </c>
    </row>
    <row r="657" spans="1:14" x14ac:dyDescent="0.45">
      <c r="A657" s="4">
        <v>45832</v>
      </c>
      <c r="B657" s="4">
        <v>45834</v>
      </c>
      <c r="C657" s="5">
        <v>6920</v>
      </c>
      <c r="D657" s="9" t="s">
        <v>350</v>
      </c>
      <c r="E657" s="5" t="s">
        <v>68</v>
      </c>
      <c r="F657" s="5" t="s">
        <v>175</v>
      </c>
      <c r="G657" s="5" t="s">
        <v>178</v>
      </c>
      <c r="H657" s="5">
        <v>100</v>
      </c>
      <c r="I657" s="28">
        <v>18185</v>
      </c>
      <c r="J657" s="9">
        <v>0</v>
      </c>
      <c r="K657" s="9">
        <v>0</v>
      </c>
      <c r="L657" s="19" t="s">
        <v>90</v>
      </c>
      <c r="M657" s="15">
        <f t="shared" si="15"/>
        <v>1818500</v>
      </c>
      <c r="N657" s="19">
        <v>170000</v>
      </c>
    </row>
    <row r="658" spans="1:14" x14ac:dyDescent="0.45">
      <c r="A658" s="4">
        <v>45833</v>
      </c>
      <c r="B658" s="4">
        <v>45835</v>
      </c>
      <c r="C658" s="5">
        <v>2702</v>
      </c>
      <c r="D658" s="9" t="s">
        <v>353</v>
      </c>
      <c r="E658" s="5" t="s">
        <v>68</v>
      </c>
      <c r="F658" s="5" t="s">
        <v>175</v>
      </c>
      <c r="G658" s="5" t="s">
        <v>30</v>
      </c>
      <c r="H658" s="5">
        <v>100</v>
      </c>
      <c r="I658" s="28">
        <v>5985</v>
      </c>
      <c r="J658" s="9">
        <v>0</v>
      </c>
      <c r="K658" s="9">
        <v>0</v>
      </c>
      <c r="L658" s="21" t="s">
        <v>354</v>
      </c>
      <c r="M658" s="15">
        <f t="shared" si="15"/>
        <v>598500</v>
      </c>
      <c r="N658" s="19">
        <v>0</v>
      </c>
    </row>
    <row r="659" spans="1:14" x14ac:dyDescent="0.45">
      <c r="A659" s="4">
        <v>45834</v>
      </c>
      <c r="B659" s="4">
        <v>45838</v>
      </c>
      <c r="C659" s="5">
        <v>7453</v>
      </c>
      <c r="D659" s="9" t="s">
        <v>349</v>
      </c>
      <c r="E659" s="5" t="s">
        <v>68</v>
      </c>
      <c r="F659" s="5" t="s">
        <v>175</v>
      </c>
      <c r="G659" s="5" t="s">
        <v>178</v>
      </c>
      <c r="H659" s="5">
        <v>100</v>
      </c>
      <c r="I659" s="28">
        <v>6774</v>
      </c>
      <c r="J659" s="9">
        <v>0</v>
      </c>
      <c r="K659" s="9">
        <v>0</v>
      </c>
      <c r="L659" s="19" t="s">
        <v>90</v>
      </c>
      <c r="M659" s="15">
        <f t="shared" si="15"/>
        <v>677400</v>
      </c>
      <c r="N659" s="19">
        <v>11500</v>
      </c>
    </row>
    <row r="660" spans="1:14" x14ac:dyDescent="0.45">
      <c r="A660" s="4">
        <v>45838</v>
      </c>
      <c r="B660" s="4">
        <v>45840</v>
      </c>
      <c r="C660" s="5">
        <v>6920</v>
      </c>
      <c r="D660" s="9" t="s">
        <v>350</v>
      </c>
      <c r="E660" s="5" t="s">
        <v>68</v>
      </c>
      <c r="F660" s="5" t="s">
        <v>175</v>
      </c>
      <c r="G660" s="5" t="s">
        <v>30</v>
      </c>
      <c r="H660" s="5">
        <v>100</v>
      </c>
      <c r="I660" s="28">
        <v>20238.8</v>
      </c>
      <c r="J660" s="9">
        <v>0</v>
      </c>
      <c r="K660" s="9">
        <v>0</v>
      </c>
      <c r="L660" s="21" t="s">
        <v>357</v>
      </c>
      <c r="M660" s="15">
        <f t="shared" si="15"/>
        <v>2023880</v>
      </c>
      <c r="N660" s="19">
        <v>0</v>
      </c>
    </row>
    <row r="661" spans="1:14" x14ac:dyDescent="0.45">
      <c r="A661" s="4">
        <v>45838</v>
      </c>
      <c r="B661" s="4">
        <v>45840</v>
      </c>
      <c r="C661" s="5">
        <v>8035</v>
      </c>
      <c r="D661" s="9" t="s">
        <v>358</v>
      </c>
      <c r="E661" s="5" t="s">
        <v>68</v>
      </c>
      <c r="F661" s="5" t="s">
        <v>175</v>
      </c>
      <c r="G661" s="5" t="s">
        <v>30</v>
      </c>
      <c r="H661" s="5">
        <v>100</v>
      </c>
      <c r="I661" s="28">
        <v>28310</v>
      </c>
      <c r="J661" s="9">
        <v>0</v>
      </c>
      <c r="K661" s="9">
        <v>0</v>
      </c>
      <c r="L661" s="19" t="s">
        <v>359</v>
      </c>
      <c r="M661" s="15">
        <f t="shared" si="15"/>
        <v>2831000</v>
      </c>
      <c r="N661" s="19">
        <v>0</v>
      </c>
    </row>
    <row r="662" spans="1:14" x14ac:dyDescent="0.45">
      <c r="A662" s="4">
        <v>45839</v>
      </c>
      <c r="B662" s="4">
        <v>45841</v>
      </c>
      <c r="C662" s="5">
        <v>6920</v>
      </c>
      <c r="D662" s="9" t="s">
        <v>350</v>
      </c>
      <c r="E662" s="5" t="s">
        <v>68</v>
      </c>
      <c r="F662" s="5" t="s">
        <v>175</v>
      </c>
      <c r="G662" s="5" t="s">
        <v>178</v>
      </c>
      <c r="H662" s="5">
        <v>100</v>
      </c>
      <c r="I662" s="28">
        <v>18790</v>
      </c>
      <c r="J662" s="9">
        <v>0</v>
      </c>
      <c r="K662" s="9">
        <v>0</v>
      </c>
      <c r="L662" s="19" t="s">
        <v>90</v>
      </c>
      <c r="M662" s="15">
        <f t="shared" si="15"/>
        <v>1879000</v>
      </c>
      <c r="N662" s="19">
        <v>-144900</v>
      </c>
    </row>
    <row r="663" spans="1:14" x14ac:dyDescent="0.45">
      <c r="A663" s="4">
        <v>45847</v>
      </c>
      <c r="B663" s="4">
        <v>45849</v>
      </c>
      <c r="C663" s="5">
        <v>3397</v>
      </c>
      <c r="D663" s="9" t="s">
        <v>110</v>
      </c>
      <c r="E663" s="5" t="s">
        <v>68</v>
      </c>
      <c r="F663" s="5" t="s">
        <v>175</v>
      </c>
      <c r="G663" s="5" t="s">
        <v>178</v>
      </c>
      <c r="H663" s="5">
        <v>100</v>
      </c>
      <c r="I663" s="28">
        <v>4282</v>
      </c>
      <c r="J663" s="9">
        <v>0</v>
      </c>
      <c r="K663" s="9">
        <v>0</v>
      </c>
      <c r="L663" s="19" t="s">
        <v>90</v>
      </c>
      <c r="M663" s="15">
        <f t="shared" si="15"/>
        <v>428200</v>
      </c>
      <c r="N663" s="19">
        <v>16200</v>
      </c>
    </row>
    <row r="664" spans="1:14" x14ac:dyDescent="0.45">
      <c r="A664" s="4">
        <v>45853</v>
      </c>
      <c r="B664" s="4">
        <v>45855</v>
      </c>
      <c r="C664" s="5">
        <v>3350</v>
      </c>
      <c r="D664" s="9" t="s">
        <v>341</v>
      </c>
      <c r="E664" s="5" t="s">
        <v>68</v>
      </c>
      <c r="F664" s="5" t="s">
        <v>175</v>
      </c>
      <c r="G664" s="5" t="s">
        <v>178</v>
      </c>
      <c r="H664" s="5">
        <v>100</v>
      </c>
      <c r="I664" s="28">
        <v>1444</v>
      </c>
      <c r="J664" s="9">
        <v>0</v>
      </c>
      <c r="K664" s="9">
        <v>0</v>
      </c>
      <c r="L664" s="19" t="s">
        <v>90</v>
      </c>
      <c r="M664" s="15">
        <f t="shared" si="15"/>
        <v>144400</v>
      </c>
      <c r="N664" s="19">
        <v>-33400</v>
      </c>
    </row>
    <row r="665" spans="1:14" x14ac:dyDescent="0.45">
      <c r="A665" s="4">
        <v>45854</v>
      </c>
      <c r="B665" s="4">
        <v>45856</v>
      </c>
      <c r="C665" s="5">
        <v>8035</v>
      </c>
      <c r="D665" s="9" t="s">
        <v>253</v>
      </c>
      <c r="E665" s="5" t="s">
        <v>68</v>
      </c>
      <c r="F665" s="5" t="s">
        <v>175</v>
      </c>
      <c r="G665" s="5" t="s">
        <v>178</v>
      </c>
      <c r="H665" s="5">
        <v>100</v>
      </c>
      <c r="I665" s="28">
        <v>28335</v>
      </c>
      <c r="J665" s="9">
        <v>0</v>
      </c>
      <c r="K665" s="9">
        <v>0</v>
      </c>
      <c r="L665" s="19" t="s">
        <v>90</v>
      </c>
      <c r="M665" s="15">
        <f t="shared" si="15"/>
        <v>2833500</v>
      </c>
      <c r="N665" s="19">
        <v>2500</v>
      </c>
    </row>
    <row r="666" spans="1:14" x14ac:dyDescent="0.45">
      <c r="A666" s="4">
        <v>45862</v>
      </c>
      <c r="B666" s="4">
        <v>45866</v>
      </c>
      <c r="C666" s="5">
        <v>8604</v>
      </c>
      <c r="D666" s="9" t="s">
        <v>326</v>
      </c>
      <c r="E666" s="5" t="s">
        <v>68</v>
      </c>
      <c r="F666" s="5" t="s">
        <v>175</v>
      </c>
      <c r="G666" s="5" t="s">
        <v>178</v>
      </c>
      <c r="H666" s="5">
        <v>300</v>
      </c>
      <c r="I666" s="28">
        <v>994.8</v>
      </c>
      <c r="J666" s="9">
        <v>0</v>
      </c>
      <c r="K666" s="9">
        <v>0</v>
      </c>
      <c r="L666" s="19" t="s">
        <v>90</v>
      </c>
      <c r="M666" s="15">
        <f t="shared" si="15"/>
        <v>298440</v>
      </c>
      <c r="N666" s="19">
        <v>540</v>
      </c>
    </row>
    <row r="667" spans="1:14" x14ac:dyDescent="0.45">
      <c r="A667" s="4">
        <v>45877</v>
      </c>
      <c r="B667" s="4">
        <v>45882</v>
      </c>
      <c r="C667" s="5">
        <v>4519</v>
      </c>
      <c r="D667" s="9" t="s">
        <v>200</v>
      </c>
      <c r="E667" s="5" t="s">
        <v>68</v>
      </c>
      <c r="F667" s="5" t="s">
        <v>175</v>
      </c>
      <c r="G667" s="5" t="s">
        <v>30</v>
      </c>
      <c r="H667" s="5">
        <v>100</v>
      </c>
      <c r="I667" s="28">
        <v>6119.9</v>
      </c>
      <c r="J667" s="9">
        <v>0</v>
      </c>
      <c r="K667" s="9">
        <v>0</v>
      </c>
      <c r="L667" s="21" t="s">
        <v>360</v>
      </c>
      <c r="M667" s="15">
        <f t="shared" si="15"/>
        <v>611990</v>
      </c>
      <c r="N667" s="19">
        <v>0</v>
      </c>
    </row>
    <row r="668" spans="1:14" x14ac:dyDescent="0.45">
      <c r="A668" s="4">
        <v>45881</v>
      </c>
      <c r="B668" s="4">
        <v>45883</v>
      </c>
      <c r="C668" s="5">
        <v>2413</v>
      </c>
      <c r="D668" s="9" t="s">
        <v>343</v>
      </c>
      <c r="E668" s="5" t="s">
        <v>68</v>
      </c>
      <c r="F668" s="5" t="s">
        <v>175</v>
      </c>
      <c r="G668" s="5" t="s">
        <v>178</v>
      </c>
      <c r="H668" s="5">
        <v>100</v>
      </c>
      <c r="I668" s="28">
        <v>2194.5</v>
      </c>
      <c r="J668" s="9">
        <v>0</v>
      </c>
      <c r="K668" s="9">
        <v>0</v>
      </c>
      <c r="L668" s="19" t="s">
        <v>90</v>
      </c>
      <c r="M668" s="15">
        <f t="shared" si="15"/>
        <v>219450</v>
      </c>
      <c r="N668" s="19">
        <v>8350</v>
      </c>
    </row>
    <row r="669" spans="1:14" x14ac:dyDescent="0.45">
      <c r="A669" s="4">
        <v>45884</v>
      </c>
      <c r="B669" s="4">
        <v>45888</v>
      </c>
      <c r="C669" s="5">
        <v>5185</v>
      </c>
      <c r="D669" s="9" t="s">
        <v>261</v>
      </c>
      <c r="E669" s="5" t="s">
        <v>68</v>
      </c>
      <c r="F669" s="5" t="s">
        <v>175</v>
      </c>
      <c r="G669" s="5" t="s">
        <v>178</v>
      </c>
      <c r="H669" s="5">
        <v>100</v>
      </c>
      <c r="I669" s="28">
        <v>1829</v>
      </c>
      <c r="J669" s="9">
        <v>0</v>
      </c>
      <c r="K669" s="9">
        <v>0</v>
      </c>
      <c r="L669" s="19" t="s">
        <v>90</v>
      </c>
      <c r="M669" s="15">
        <f t="shared" si="15"/>
        <v>182900</v>
      </c>
      <c r="N669" s="19">
        <v>1310</v>
      </c>
    </row>
    <row r="670" spans="1:14" x14ac:dyDescent="0.45">
      <c r="A670" s="4">
        <v>45890</v>
      </c>
      <c r="B670" s="4">
        <v>45894</v>
      </c>
      <c r="C670" s="5">
        <v>7867</v>
      </c>
      <c r="D670" s="9" t="s">
        <v>265</v>
      </c>
      <c r="E670" s="5" t="s">
        <v>68</v>
      </c>
      <c r="F670" s="5" t="s">
        <v>175</v>
      </c>
      <c r="G670" s="5" t="s">
        <v>178</v>
      </c>
      <c r="H670" s="5">
        <v>100</v>
      </c>
      <c r="I670" s="28">
        <v>3476</v>
      </c>
      <c r="J670" s="9">
        <v>0</v>
      </c>
      <c r="K670" s="9">
        <v>0</v>
      </c>
      <c r="L670" s="19" t="s">
        <v>90</v>
      </c>
      <c r="M670" s="15">
        <f t="shared" si="15"/>
        <v>347600</v>
      </c>
      <c r="N670" s="19">
        <v>14100</v>
      </c>
    </row>
    <row r="671" spans="1:14" x14ac:dyDescent="0.45">
      <c r="A671" s="4">
        <v>45910</v>
      </c>
      <c r="B671" s="4">
        <v>45912</v>
      </c>
      <c r="C671" s="5">
        <v>2702</v>
      </c>
      <c r="D671" s="9" t="s">
        <v>353</v>
      </c>
      <c r="E671" s="5" t="s">
        <v>68</v>
      </c>
      <c r="F671" s="5" t="s">
        <v>175</v>
      </c>
      <c r="G671" s="5" t="s">
        <v>178</v>
      </c>
      <c r="H671" s="5">
        <v>100</v>
      </c>
      <c r="I671" s="28">
        <v>6530</v>
      </c>
      <c r="J671" s="9">
        <v>0</v>
      </c>
      <c r="K671" s="9">
        <v>0</v>
      </c>
      <c r="L671" s="19" t="s">
        <v>90</v>
      </c>
      <c r="M671" s="15">
        <f t="shared" si="15"/>
        <v>653000</v>
      </c>
      <c r="N671" s="19">
        <v>54500</v>
      </c>
    </row>
    <row r="672" spans="1:14" x14ac:dyDescent="0.45">
      <c r="A672" s="4">
        <v>45916</v>
      </c>
      <c r="B672" s="4">
        <v>45918</v>
      </c>
      <c r="C672" s="5">
        <v>9602</v>
      </c>
      <c r="D672" s="9" t="s">
        <v>131</v>
      </c>
      <c r="E672" s="5" t="s">
        <v>68</v>
      </c>
      <c r="F672" s="5" t="s">
        <v>175</v>
      </c>
      <c r="G672" s="5" t="s">
        <v>30</v>
      </c>
      <c r="H672" s="5">
        <v>100</v>
      </c>
      <c r="I672" s="28">
        <v>9614</v>
      </c>
      <c r="J672" s="9">
        <v>0</v>
      </c>
      <c r="K672" s="9">
        <v>0</v>
      </c>
      <c r="L672" s="21" t="s">
        <v>177</v>
      </c>
      <c r="M672" s="15">
        <f t="shared" si="15"/>
        <v>961400</v>
      </c>
      <c r="N672" s="19">
        <v>0</v>
      </c>
    </row>
    <row r="673" spans="1:14" x14ac:dyDescent="0.45">
      <c r="A673" s="4">
        <v>45924</v>
      </c>
      <c r="B673" s="4">
        <v>45926</v>
      </c>
      <c r="C673" s="5">
        <v>5602</v>
      </c>
      <c r="D673" s="9" t="s">
        <v>364</v>
      </c>
      <c r="E673" s="5" t="s">
        <v>68</v>
      </c>
      <c r="F673" s="5" t="s">
        <v>175</v>
      </c>
      <c r="G673" s="5" t="s">
        <v>30</v>
      </c>
      <c r="H673" s="5">
        <v>100</v>
      </c>
      <c r="I673" s="28">
        <v>8600</v>
      </c>
      <c r="J673" s="9">
        <v>0</v>
      </c>
      <c r="K673" s="9">
        <v>0</v>
      </c>
      <c r="L673" s="21" t="s">
        <v>365</v>
      </c>
      <c r="M673" s="15">
        <f t="shared" si="15"/>
        <v>860000</v>
      </c>
      <c r="N673" s="19">
        <v>0</v>
      </c>
    </row>
    <row r="674" spans="1:14" x14ac:dyDescent="0.45">
      <c r="A674" s="4">
        <v>45924</v>
      </c>
      <c r="B674" s="4">
        <v>45926</v>
      </c>
      <c r="C674" s="5">
        <v>7974</v>
      </c>
      <c r="D674" s="9" t="s">
        <v>174</v>
      </c>
      <c r="E674" s="5" t="s">
        <v>68</v>
      </c>
      <c r="F674" s="5" t="s">
        <v>175</v>
      </c>
      <c r="G674" s="5" t="s">
        <v>30</v>
      </c>
      <c r="H674" s="5">
        <v>100</v>
      </c>
      <c r="I674" s="28">
        <v>13085</v>
      </c>
      <c r="J674" s="9">
        <v>0</v>
      </c>
      <c r="K674" s="14">
        <v>0</v>
      </c>
      <c r="L674" s="21" t="s">
        <v>365</v>
      </c>
      <c r="M674" s="15">
        <f t="shared" si="15"/>
        <v>1308500</v>
      </c>
      <c r="N674" s="19">
        <v>0</v>
      </c>
    </row>
    <row r="675" spans="1:14" x14ac:dyDescent="0.45">
      <c r="A675" s="4">
        <v>45926</v>
      </c>
      <c r="B675" s="4">
        <v>45931</v>
      </c>
      <c r="C675" s="5">
        <v>5021</v>
      </c>
      <c r="D675" s="9" t="s">
        <v>368</v>
      </c>
      <c r="E675" s="5" t="s">
        <v>67</v>
      </c>
      <c r="F675" s="5"/>
      <c r="G675" s="5" t="s">
        <v>231</v>
      </c>
      <c r="H675" s="5">
        <v>100</v>
      </c>
      <c r="I675" s="28">
        <v>3766.5</v>
      </c>
      <c r="J675" s="9">
        <v>0</v>
      </c>
      <c r="K675" s="14">
        <v>0</v>
      </c>
      <c r="L675" s="21" t="s">
        <v>177</v>
      </c>
      <c r="M675" s="15">
        <v>0</v>
      </c>
      <c r="N675" s="19">
        <v>0</v>
      </c>
    </row>
    <row r="676" spans="1:14" x14ac:dyDescent="0.45">
      <c r="A676" s="4">
        <v>45926</v>
      </c>
      <c r="B676" s="4">
        <v>45931</v>
      </c>
      <c r="C676" s="5">
        <v>5602</v>
      </c>
      <c r="D676" s="9" t="s">
        <v>364</v>
      </c>
      <c r="E676" s="5" t="s">
        <v>67</v>
      </c>
      <c r="F676" s="5"/>
      <c r="G676" s="5" t="s">
        <v>231</v>
      </c>
      <c r="H676" s="5">
        <v>400</v>
      </c>
      <c r="I676" s="28">
        <v>1720</v>
      </c>
      <c r="J676" s="9">
        <v>0</v>
      </c>
      <c r="K676" s="14">
        <v>0</v>
      </c>
      <c r="L676" s="21" t="s">
        <v>177</v>
      </c>
      <c r="M676" s="15">
        <v>0</v>
      </c>
      <c r="N676" s="19">
        <v>0</v>
      </c>
    </row>
    <row r="677" spans="1:14" x14ac:dyDescent="0.45">
      <c r="A677" s="4">
        <v>45929</v>
      </c>
      <c r="B677" s="4">
        <v>45931</v>
      </c>
      <c r="C677" s="5" t="s">
        <v>366</v>
      </c>
      <c r="D677" s="9" t="s">
        <v>367</v>
      </c>
      <c r="E677" s="5" t="s">
        <v>67</v>
      </c>
      <c r="F677" s="5" t="s">
        <v>175</v>
      </c>
      <c r="G677" s="5" t="s">
        <v>30</v>
      </c>
      <c r="H677" s="5">
        <v>100</v>
      </c>
      <c r="I677" s="28">
        <v>2659</v>
      </c>
      <c r="J677" s="9">
        <v>0</v>
      </c>
      <c r="K677" s="14">
        <v>0</v>
      </c>
      <c r="L677" s="21" t="s">
        <v>177</v>
      </c>
      <c r="M677" s="15">
        <f t="shared" si="15"/>
        <v>265900</v>
      </c>
      <c r="N677" s="19">
        <v>0</v>
      </c>
    </row>
    <row r="678" spans="1:14" x14ac:dyDescent="0.45">
      <c r="A678" s="4">
        <v>45936</v>
      </c>
      <c r="B678" s="4">
        <v>45938</v>
      </c>
      <c r="C678" s="5">
        <v>7012</v>
      </c>
      <c r="D678" s="9" t="s">
        <v>183</v>
      </c>
      <c r="E678" s="5" t="s">
        <v>67</v>
      </c>
      <c r="F678" s="5" t="s">
        <v>175</v>
      </c>
      <c r="G678" s="5" t="s">
        <v>30</v>
      </c>
      <c r="H678" s="5">
        <v>100</v>
      </c>
      <c r="I678" s="28">
        <v>10150</v>
      </c>
      <c r="J678" s="9">
        <v>0</v>
      </c>
      <c r="K678" s="14">
        <v>0</v>
      </c>
      <c r="L678" s="21" t="s">
        <v>177</v>
      </c>
      <c r="M678" s="15">
        <f t="shared" ref="M678:M741" si="16">IF(G678="買付",H678*I678+SUM(J678:K678),H678*I678-SUM(J678:K678))</f>
        <v>1015000</v>
      </c>
      <c r="N678" s="19">
        <v>0</v>
      </c>
    </row>
    <row r="679" spans="1:14" x14ac:dyDescent="0.45">
      <c r="A679" s="4">
        <v>45937</v>
      </c>
      <c r="B679" s="4">
        <v>45939</v>
      </c>
      <c r="C679" s="5">
        <v>1541</v>
      </c>
      <c r="D679" s="9" t="s">
        <v>369</v>
      </c>
      <c r="E679" s="5" t="s">
        <v>67</v>
      </c>
      <c r="F679" s="5" t="s">
        <v>175</v>
      </c>
      <c r="G679" s="5" t="s">
        <v>30</v>
      </c>
      <c r="H679" s="5">
        <v>7</v>
      </c>
      <c r="I679" s="28">
        <v>8069</v>
      </c>
      <c r="J679" s="9">
        <v>0</v>
      </c>
      <c r="K679" s="14">
        <v>0</v>
      </c>
      <c r="L679" s="21" t="s">
        <v>177</v>
      </c>
      <c r="M679" s="15">
        <f t="shared" si="16"/>
        <v>56483</v>
      </c>
      <c r="N679" s="19">
        <v>0</v>
      </c>
    </row>
    <row r="680" spans="1:14" x14ac:dyDescent="0.45">
      <c r="A680" s="4">
        <v>45937</v>
      </c>
      <c r="B680" s="4">
        <v>45939</v>
      </c>
      <c r="C680" s="5">
        <v>1541</v>
      </c>
      <c r="D680" s="9" t="s">
        <v>369</v>
      </c>
      <c r="E680" s="5" t="s">
        <v>67</v>
      </c>
      <c r="F680" s="5" t="s">
        <v>175</v>
      </c>
      <c r="G680" s="5" t="s">
        <v>30</v>
      </c>
      <c r="H680" s="5">
        <v>3</v>
      </c>
      <c r="I680" s="28">
        <v>8068</v>
      </c>
      <c r="J680" s="9">
        <v>0</v>
      </c>
      <c r="K680" s="14">
        <v>0</v>
      </c>
      <c r="L680" s="21" t="s">
        <v>177</v>
      </c>
      <c r="M680" s="15">
        <f t="shared" si="16"/>
        <v>24204</v>
      </c>
      <c r="N680" s="19">
        <v>0</v>
      </c>
    </row>
    <row r="681" spans="1:14" x14ac:dyDescent="0.45">
      <c r="A681" s="4">
        <v>45937</v>
      </c>
      <c r="B681" s="4">
        <v>45939</v>
      </c>
      <c r="C681" s="5">
        <v>6590</v>
      </c>
      <c r="D681" s="9" t="s">
        <v>371</v>
      </c>
      <c r="E681" s="5" t="s">
        <v>67</v>
      </c>
      <c r="F681" s="5" t="s">
        <v>175</v>
      </c>
      <c r="G681" s="5" t="s">
        <v>30</v>
      </c>
      <c r="H681" s="5">
        <v>100</v>
      </c>
      <c r="I681" s="28">
        <v>15000</v>
      </c>
      <c r="J681" s="9">
        <v>0</v>
      </c>
      <c r="K681" s="14">
        <v>0</v>
      </c>
      <c r="L681" s="21" t="s">
        <v>177</v>
      </c>
      <c r="M681" s="15">
        <f t="shared" si="16"/>
        <v>1500000</v>
      </c>
      <c r="N681" s="19">
        <v>0</v>
      </c>
    </row>
    <row r="682" spans="1:14" x14ac:dyDescent="0.45">
      <c r="A682" s="4">
        <v>45938</v>
      </c>
      <c r="B682" s="4">
        <v>45940</v>
      </c>
      <c r="C682" s="5">
        <v>1540</v>
      </c>
      <c r="D682" s="9" t="s">
        <v>372</v>
      </c>
      <c r="E682" s="5" t="s">
        <v>67</v>
      </c>
      <c r="F682" s="5" t="s">
        <v>175</v>
      </c>
      <c r="G682" s="5" t="s">
        <v>30</v>
      </c>
      <c r="H682" s="5">
        <v>10</v>
      </c>
      <c r="I682" s="28">
        <v>19500</v>
      </c>
      <c r="J682" s="9">
        <v>0</v>
      </c>
      <c r="K682" s="14">
        <v>0</v>
      </c>
      <c r="L682" s="21" t="s">
        <v>177</v>
      </c>
      <c r="M682" s="15">
        <f t="shared" si="16"/>
        <v>195000</v>
      </c>
      <c r="N682" s="19">
        <v>0</v>
      </c>
    </row>
    <row r="683" spans="1:14" x14ac:dyDescent="0.45">
      <c r="A683" s="4">
        <v>45938</v>
      </c>
      <c r="B683" s="4">
        <v>45940</v>
      </c>
      <c r="C683" s="5">
        <v>6268</v>
      </c>
      <c r="D683" s="9" t="s">
        <v>373</v>
      </c>
      <c r="E683" s="5" t="s">
        <v>67</v>
      </c>
      <c r="F683" s="5" t="s">
        <v>175</v>
      </c>
      <c r="G683" s="5" t="s">
        <v>30</v>
      </c>
      <c r="H683" s="5">
        <v>100</v>
      </c>
      <c r="I683" s="28">
        <v>3670</v>
      </c>
      <c r="J683" s="9">
        <v>0</v>
      </c>
      <c r="K683" s="14">
        <v>0</v>
      </c>
      <c r="L683" s="21" t="s">
        <v>177</v>
      </c>
      <c r="M683" s="15">
        <f t="shared" si="16"/>
        <v>367000</v>
      </c>
      <c r="N683" s="19">
        <v>0</v>
      </c>
    </row>
    <row r="684" spans="1:14" x14ac:dyDescent="0.45">
      <c r="A684" s="4">
        <v>45938</v>
      </c>
      <c r="B684" s="4">
        <v>45940</v>
      </c>
      <c r="C684" s="5">
        <v>7013</v>
      </c>
      <c r="D684" s="9" t="s">
        <v>374</v>
      </c>
      <c r="E684" s="5" t="s">
        <v>67</v>
      </c>
      <c r="F684" s="5" t="s">
        <v>175</v>
      </c>
      <c r="G684" s="5" t="s">
        <v>30</v>
      </c>
      <c r="H684" s="5">
        <v>100</v>
      </c>
      <c r="I684" s="28">
        <v>3080</v>
      </c>
      <c r="J684" s="9">
        <v>0</v>
      </c>
      <c r="K684" s="14">
        <v>0</v>
      </c>
      <c r="L684" s="21" t="s">
        <v>177</v>
      </c>
      <c r="M684" s="15">
        <f t="shared" si="16"/>
        <v>308000</v>
      </c>
      <c r="N684" s="19">
        <v>0</v>
      </c>
    </row>
    <row r="685" spans="1:14" x14ac:dyDescent="0.45">
      <c r="A685" s="4">
        <v>45939</v>
      </c>
      <c r="B685" s="4">
        <v>45944</v>
      </c>
      <c r="C685" s="5">
        <v>3692</v>
      </c>
      <c r="D685" s="9" t="s">
        <v>375</v>
      </c>
      <c r="E685" s="5" t="s">
        <v>67</v>
      </c>
      <c r="F685" s="5" t="s">
        <v>175</v>
      </c>
      <c r="G685" s="5" t="s">
        <v>30</v>
      </c>
      <c r="H685" s="5">
        <v>100</v>
      </c>
      <c r="I685" s="28">
        <v>10530</v>
      </c>
      <c r="J685" s="9">
        <v>0</v>
      </c>
      <c r="K685" s="14">
        <v>0</v>
      </c>
      <c r="L685" s="21" t="s">
        <v>177</v>
      </c>
      <c r="M685" s="15">
        <f t="shared" si="16"/>
        <v>1053000</v>
      </c>
      <c r="N685" s="19">
        <v>0</v>
      </c>
    </row>
    <row r="686" spans="1:14" x14ac:dyDescent="0.45">
      <c r="A686" s="4">
        <v>45939</v>
      </c>
      <c r="B686" s="4">
        <v>45944</v>
      </c>
      <c r="C686" s="5">
        <v>5803</v>
      </c>
      <c r="D686" s="9" t="s">
        <v>309</v>
      </c>
      <c r="E686" s="5" t="s">
        <v>67</v>
      </c>
      <c r="F686" s="5" t="s">
        <v>175</v>
      </c>
      <c r="G686" s="5" t="s">
        <v>30</v>
      </c>
      <c r="H686" s="5">
        <v>100</v>
      </c>
      <c r="I686" s="28">
        <v>16720</v>
      </c>
      <c r="J686" s="9">
        <v>0</v>
      </c>
      <c r="K686" s="14">
        <v>0</v>
      </c>
      <c r="L686" s="21" t="s">
        <v>177</v>
      </c>
      <c r="M686" s="15">
        <f t="shared" si="16"/>
        <v>1672000</v>
      </c>
      <c r="N686" s="19">
        <v>0</v>
      </c>
    </row>
    <row r="687" spans="1:14" x14ac:dyDescent="0.45">
      <c r="A687" s="4">
        <v>45944</v>
      </c>
      <c r="B687" s="4">
        <v>45946</v>
      </c>
      <c r="C687" s="5">
        <v>1540</v>
      </c>
      <c r="D687" s="9" t="s">
        <v>372</v>
      </c>
      <c r="E687" s="5" t="s">
        <v>67</v>
      </c>
      <c r="F687" s="5" t="s">
        <v>175</v>
      </c>
      <c r="G687" s="5" t="s">
        <v>30</v>
      </c>
      <c r="H687" s="5">
        <v>3</v>
      </c>
      <c r="I687" s="28">
        <v>20260</v>
      </c>
      <c r="J687" s="9">
        <v>0</v>
      </c>
      <c r="K687" s="14">
        <v>0</v>
      </c>
      <c r="L687" s="21" t="s">
        <v>177</v>
      </c>
      <c r="M687" s="15">
        <f t="shared" si="16"/>
        <v>60780</v>
      </c>
      <c r="N687" s="19">
        <v>0</v>
      </c>
    </row>
    <row r="688" spans="1:14" x14ac:dyDescent="0.45">
      <c r="A688" s="4">
        <v>45944</v>
      </c>
      <c r="B688" s="4">
        <v>45946</v>
      </c>
      <c r="C688" s="5">
        <v>1541</v>
      </c>
      <c r="D688" s="9" t="s">
        <v>369</v>
      </c>
      <c r="E688" s="5" t="s">
        <v>67</v>
      </c>
      <c r="F688" s="5" t="s">
        <v>175</v>
      </c>
      <c r="G688" s="5" t="s">
        <v>30</v>
      </c>
      <c r="H688" s="5">
        <v>18</v>
      </c>
      <c r="I688" s="28">
        <v>9016</v>
      </c>
      <c r="J688" s="9">
        <v>0</v>
      </c>
      <c r="K688" s="14">
        <v>0</v>
      </c>
      <c r="L688" s="21" t="s">
        <v>177</v>
      </c>
      <c r="M688" s="15">
        <f t="shared" si="16"/>
        <v>162288</v>
      </c>
      <c r="N688" s="19">
        <v>0</v>
      </c>
    </row>
    <row r="689" spans="1:14" x14ac:dyDescent="0.45">
      <c r="A689" s="4">
        <v>45944</v>
      </c>
      <c r="B689" s="4">
        <v>45946</v>
      </c>
      <c r="C689" s="5">
        <v>1540</v>
      </c>
      <c r="D689" s="9" t="s">
        <v>372</v>
      </c>
      <c r="E689" s="5" t="s">
        <v>67</v>
      </c>
      <c r="F689" s="5" t="s">
        <v>175</v>
      </c>
      <c r="G689" s="5" t="s">
        <v>30</v>
      </c>
      <c r="H689" s="5">
        <v>10</v>
      </c>
      <c r="I689" s="28">
        <v>25100</v>
      </c>
      <c r="J689" s="9">
        <v>0</v>
      </c>
      <c r="K689" s="14">
        <v>0</v>
      </c>
      <c r="L689" s="21" t="s">
        <v>177</v>
      </c>
      <c r="M689" s="15">
        <f t="shared" si="16"/>
        <v>251000</v>
      </c>
      <c r="N689" s="19">
        <v>0</v>
      </c>
    </row>
    <row r="690" spans="1:14" x14ac:dyDescent="0.45">
      <c r="A690" s="4">
        <v>45944</v>
      </c>
      <c r="B690" s="4">
        <v>45946</v>
      </c>
      <c r="C690" s="5">
        <v>1543</v>
      </c>
      <c r="D690" s="9" t="s">
        <v>379</v>
      </c>
      <c r="E690" s="5" t="s">
        <v>67</v>
      </c>
      <c r="F690" s="5" t="s">
        <v>175</v>
      </c>
      <c r="G690" s="5" t="s">
        <v>30</v>
      </c>
      <c r="H690" s="5">
        <v>4</v>
      </c>
      <c r="I690" s="28">
        <v>69180</v>
      </c>
      <c r="J690" s="9">
        <v>0</v>
      </c>
      <c r="K690" s="14">
        <v>0</v>
      </c>
      <c r="L690" s="21" t="s">
        <v>177</v>
      </c>
      <c r="M690" s="15">
        <f t="shared" si="16"/>
        <v>276720</v>
      </c>
      <c r="N690" s="19">
        <v>0</v>
      </c>
    </row>
    <row r="691" spans="1:14" x14ac:dyDescent="0.45">
      <c r="A691" s="4">
        <v>45944</v>
      </c>
      <c r="B691" s="4">
        <v>45946</v>
      </c>
      <c r="C691" s="5">
        <v>6590</v>
      </c>
      <c r="D691" s="9" t="s">
        <v>371</v>
      </c>
      <c r="E691" s="5" t="s">
        <v>67</v>
      </c>
      <c r="F691" s="5" t="s">
        <v>175</v>
      </c>
      <c r="G691" s="5" t="s">
        <v>178</v>
      </c>
      <c r="H691" s="5">
        <v>100</v>
      </c>
      <c r="I691" s="28">
        <v>15961</v>
      </c>
      <c r="J691" s="9">
        <v>0</v>
      </c>
      <c r="K691" s="14">
        <v>0</v>
      </c>
      <c r="L691" s="19" t="s">
        <v>90</v>
      </c>
      <c r="M691" s="15">
        <f t="shared" si="16"/>
        <v>1596100</v>
      </c>
      <c r="N691" s="19">
        <v>96100</v>
      </c>
    </row>
    <row r="692" spans="1:14" x14ac:dyDescent="0.45">
      <c r="A692" s="4">
        <v>45944</v>
      </c>
      <c r="B692" s="4">
        <v>45946</v>
      </c>
      <c r="C692" s="5">
        <v>8136</v>
      </c>
      <c r="D692" s="9" t="s">
        <v>342</v>
      </c>
      <c r="E692" s="5" t="s">
        <v>67</v>
      </c>
      <c r="F692" s="5" t="s">
        <v>175</v>
      </c>
      <c r="G692" s="5" t="s">
        <v>30</v>
      </c>
      <c r="H692" s="5">
        <v>100</v>
      </c>
      <c r="I692" s="28">
        <v>7430</v>
      </c>
      <c r="J692" s="9">
        <v>0</v>
      </c>
      <c r="K692" s="14">
        <v>0</v>
      </c>
      <c r="L692" s="21" t="s">
        <v>177</v>
      </c>
      <c r="M692" s="15">
        <f t="shared" si="16"/>
        <v>743000</v>
      </c>
      <c r="N692" s="19">
        <v>0</v>
      </c>
    </row>
    <row r="693" spans="1:14" x14ac:dyDescent="0.45">
      <c r="A693" s="4">
        <v>45946</v>
      </c>
      <c r="B693" s="4">
        <v>45950</v>
      </c>
      <c r="C693" s="5">
        <v>1540</v>
      </c>
      <c r="D693" s="9" t="s">
        <v>372</v>
      </c>
      <c r="E693" s="5" t="s">
        <v>67</v>
      </c>
      <c r="F693" s="5" t="s">
        <v>175</v>
      </c>
      <c r="G693" s="5" t="s">
        <v>30</v>
      </c>
      <c r="H693" s="5">
        <v>2</v>
      </c>
      <c r="I693" s="28">
        <v>22490</v>
      </c>
      <c r="J693" s="9">
        <v>0</v>
      </c>
      <c r="K693" s="14">
        <v>0</v>
      </c>
      <c r="L693" s="21" t="s">
        <v>177</v>
      </c>
      <c r="M693" s="15">
        <f t="shared" si="16"/>
        <v>44980</v>
      </c>
      <c r="N693" s="19">
        <v>0</v>
      </c>
    </row>
    <row r="694" spans="1:14" x14ac:dyDescent="0.45">
      <c r="A694" s="4">
        <v>45946</v>
      </c>
      <c r="B694" s="4">
        <v>45950</v>
      </c>
      <c r="C694" s="5">
        <v>1541</v>
      </c>
      <c r="D694" s="9" t="s">
        <v>369</v>
      </c>
      <c r="E694" s="5" t="s">
        <v>67</v>
      </c>
      <c r="F694" s="5" t="s">
        <v>175</v>
      </c>
      <c r="G694" s="5" t="s">
        <v>30</v>
      </c>
      <c r="H694" s="5">
        <v>12</v>
      </c>
      <c r="I694" s="28">
        <v>9307</v>
      </c>
      <c r="J694" s="9">
        <v>0</v>
      </c>
      <c r="K694" s="14">
        <v>0</v>
      </c>
      <c r="L694" s="21" t="s">
        <v>177</v>
      </c>
      <c r="M694" s="15">
        <f t="shared" si="16"/>
        <v>111684</v>
      </c>
      <c r="N694" s="19">
        <v>0</v>
      </c>
    </row>
    <row r="695" spans="1:14" x14ac:dyDescent="0.45">
      <c r="A695" s="4">
        <v>45946</v>
      </c>
      <c r="B695" s="4">
        <v>45950</v>
      </c>
      <c r="C695" s="5">
        <v>1543</v>
      </c>
      <c r="D695" s="9" t="s">
        <v>379</v>
      </c>
      <c r="E695" s="5" t="s">
        <v>67</v>
      </c>
      <c r="F695" s="5" t="s">
        <v>175</v>
      </c>
      <c r="G695" s="5" t="s">
        <v>30</v>
      </c>
      <c r="H695" s="5">
        <v>1</v>
      </c>
      <c r="I695" s="28">
        <v>73510</v>
      </c>
      <c r="J695" s="9">
        <v>0</v>
      </c>
      <c r="K695" s="14">
        <v>0</v>
      </c>
      <c r="L695" s="21" t="s">
        <v>177</v>
      </c>
      <c r="M695" s="15">
        <f t="shared" si="16"/>
        <v>73510</v>
      </c>
      <c r="N695" s="19">
        <v>0</v>
      </c>
    </row>
    <row r="696" spans="1:14" x14ac:dyDescent="0.45">
      <c r="A696" s="4">
        <v>45946</v>
      </c>
      <c r="B696" s="4">
        <v>45950</v>
      </c>
      <c r="C696" s="5">
        <v>1662</v>
      </c>
      <c r="D696" s="9" t="s">
        <v>380</v>
      </c>
      <c r="E696" s="5" t="s">
        <v>67</v>
      </c>
      <c r="F696" s="5" t="s">
        <v>175</v>
      </c>
      <c r="G696" s="5" t="s">
        <v>30</v>
      </c>
      <c r="H696" s="5">
        <v>200</v>
      </c>
      <c r="I696" s="28">
        <v>1235</v>
      </c>
      <c r="J696" s="9">
        <v>0</v>
      </c>
      <c r="K696" s="14">
        <v>0</v>
      </c>
      <c r="L696" s="21" t="s">
        <v>177</v>
      </c>
      <c r="M696" s="15">
        <f t="shared" si="16"/>
        <v>247000</v>
      </c>
      <c r="N696" s="19">
        <v>0</v>
      </c>
    </row>
    <row r="697" spans="1:14" x14ac:dyDescent="0.45">
      <c r="A697" s="4">
        <v>45946</v>
      </c>
      <c r="B697" s="4">
        <v>45950</v>
      </c>
      <c r="C697" s="5">
        <v>6590</v>
      </c>
      <c r="D697" s="9" t="s">
        <v>371</v>
      </c>
      <c r="E697" s="5" t="s">
        <v>67</v>
      </c>
      <c r="F697" s="5" t="s">
        <v>175</v>
      </c>
      <c r="G697" s="5" t="s">
        <v>30</v>
      </c>
      <c r="H697" s="5">
        <v>100</v>
      </c>
      <c r="I697" s="28">
        <v>18458</v>
      </c>
      <c r="J697" s="9">
        <v>0</v>
      </c>
      <c r="K697" s="14">
        <v>0</v>
      </c>
      <c r="L697" s="21" t="s">
        <v>177</v>
      </c>
      <c r="M697" s="15">
        <f t="shared" si="16"/>
        <v>1845800</v>
      </c>
      <c r="N697" s="19">
        <v>0</v>
      </c>
    </row>
    <row r="698" spans="1:14" x14ac:dyDescent="0.45">
      <c r="A698" s="4">
        <v>45950</v>
      </c>
      <c r="B698" s="4">
        <v>45952</v>
      </c>
      <c r="C698" s="5">
        <v>1540</v>
      </c>
      <c r="D698" s="9" t="s">
        <v>372</v>
      </c>
      <c r="E698" s="5" t="s">
        <v>67</v>
      </c>
      <c r="F698" s="5" t="s">
        <v>175</v>
      </c>
      <c r="G698" s="5" t="s">
        <v>178</v>
      </c>
      <c r="H698" s="5">
        <v>15</v>
      </c>
      <c r="I698" s="28">
        <v>22440</v>
      </c>
      <c r="J698" s="9">
        <v>0</v>
      </c>
      <c r="K698" s="14">
        <v>0</v>
      </c>
      <c r="L698" s="19" t="s">
        <v>90</v>
      </c>
      <c r="M698" s="15">
        <f t="shared" si="16"/>
        <v>336600</v>
      </c>
      <c r="N698" s="19">
        <f>23890+7167+4778</f>
        <v>35835</v>
      </c>
    </row>
    <row r="699" spans="1:14" x14ac:dyDescent="0.45">
      <c r="A699" s="4">
        <v>45950</v>
      </c>
      <c r="B699" s="4">
        <v>45952</v>
      </c>
      <c r="C699" s="5">
        <v>1541</v>
      </c>
      <c r="D699" s="9" t="s">
        <v>369</v>
      </c>
      <c r="E699" s="5" t="s">
        <v>67</v>
      </c>
      <c r="F699" s="5" t="s">
        <v>175</v>
      </c>
      <c r="G699" s="5" t="s">
        <v>178</v>
      </c>
      <c r="H699" s="5">
        <v>10</v>
      </c>
      <c r="I699" s="28">
        <v>9145</v>
      </c>
      <c r="J699" s="9">
        <v>0</v>
      </c>
      <c r="K699" s="14">
        <v>0</v>
      </c>
      <c r="L699" s="19" t="s">
        <v>90</v>
      </c>
      <c r="M699" s="15">
        <f t="shared" si="16"/>
        <v>91450</v>
      </c>
      <c r="N699" s="19">
        <f>834+1946</f>
        <v>2780</v>
      </c>
    </row>
    <row r="700" spans="1:14" x14ac:dyDescent="0.45">
      <c r="A700" s="4">
        <v>45950</v>
      </c>
      <c r="B700" s="4">
        <v>45952</v>
      </c>
      <c r="C700" s="5">
        <v>1541</v>
      </c>
      <c r="D700" s="9" t="s">
        <v>369</v>
      </c>
      <c r="E700" s="5" t="s">
        <v>67</v>
      </c>
      <c r="F700" s="5" t="s">
        <v>175</v>
      </c>
      <c r="G700" s="5" t="s">
        <v>178</v>
      </c>
      <c r="H700" s="5">
        <v>30</v>
      </c>
      <c r="I700" s="28">
        <v>9145</v>
      </c>
      <c r="J700" s="9">
        <v>0</v>
      </c>
      <c r="K700" s="14">
        <v>0</v>
      </c>
      <c r="L700" s="19" t="s">
        <v>90</v>
      </c>
      <c r="M700" s="15">
        <f t="shared" si="16"/>
        <v>274350</v>
      </c>
      <c r="N700" s="19">
        <f>5004+3336</f>
        <v>8340</v>
      </c>
    </row>
    <row r="701" spans="1:14" x14ac:dyDescent="0.45">
      <c r="A701" s="4">
        <v>45950</v>
      </c>
      <c r="B701" s="4">
        <v>45952</v>
      </c>
      <c r="C701" s="5">
        <v>1540</v>
      </c>
      <c r="D701" s="9" t="s">
        <v>372</v>
      </c>
      <c r="E701" s="5" t="s">
        <v>67</v>
      </c>
      <c r="F701" s="5" t="s">
        <v>175</v>
      </c>
      <c r="G701" s="5" t="s">
        <v>178</v>
      </c>
      <c r="H701" s="5">
        <v>10</v>
      </c>
      <c r="I701" s="28">
        <v>24200</v>
      </c>
      <c r="J701" s="9">
        <v>0</v>
      </c>
      <c r="K701" s="14">
        <v>0</v>
      </c>
      <c r="L701" s="19" t="s">
        <v>90</v>
      </c>
      <c r="M701" s="15">
        <f t="shared" si="16"/>
        <v>242000</v>
      </c>
      <c r="N701" s="19">
        <v>-9000</v>
      </c>
    </row>
    <row r="702" spans="1:14" x14ac:dyDescent="0.45">
      <c r="A702" s="4">
        <v>45950</v>
      </c>
      <c r="B702" s="4">
        <v>45952</v>
      </c>
      <c r="C702" s="5">
        <v>1543</v>
      </c>
      <c r="D702" s="9" t="s">
        <v>379</v>
      </c>
      <c r="E702" s="5" t="s">
        <v>67</v>
      </c>
      <c r="F702" s="5" t="s">
        <v>175</v>
      </c>
      <c r="G702" s="5" t="s">
        <v>178</v>
      </c>
      <c r="H702" s="5">
        <v>5</v>
      </c>
      <c r="I702" s="28">
        <v>66111</v>
      </c>
      <c r="J702" s="9">
        <v>0</v>
      </c>
      <c r="K702" s="14">
        <v>0</v>
      </c>
      <c r="L702" s="19" t="s">
        <v>90</v>
      </c>
      <c r="M702" s="15">
        <f t="shared" si="16"/>
        <v>330555</v>
      </c>
      <c r="N702" s="19">
        <f>-15740-3935</f>
        <v>-19675</v>
      </c>
    </row>
    <row r="703" spans="1:14" x14ac:dyDescent="0.45">
      <c r="A703" s="4">
        <v>45950</v>
      </c>
      <c r="B703" s="4">
        <v>45952</v>
      </c>
      <c r="C703" s="5">
        <v>3692</v>
      </c>
      <c r="D703" s="9" t="s">
        <v>375</v>
      </c>
      <c r="E703" s="5" t="s">
        <v>67</v>
      </c>
      <c r="F703" s="5" t="s">
        <v>175</v>
      </c>
      <c r="G703" s="5" t="s">
        <v>178</v>
      </c>
      <c r="H703" s="5">
        <v>100</v>
      </c>
      <c r="I703" s="28">
        <v>12900</v>
      </c>
      <c r="J703" s="9">
        <v>0</v>
      </c>
      <c r="K703" s="14">
        <v>0</v>
      </c>
      <c r="L703" s="19" t="s">
        <v>90</v>
      </c>
      <c r="M703" s="15">
        <f t="shared" si="16"/>
        <v>1290000</v>
      </c>
      <c r="N703" s="19">
        <v>237000</v>
      </c>
    </row>
    <row r="704" spans="1:14" x14ac:dyDescent="0.45">
      <c r="A704" s="4">
        <v>45950</v>
      </c>
      <c r="B704" s="4">
        <v>45952</v>
      </c>
      <c r="C704" s="5">
        <v>6268</v>
      </c>
      <c r="D704" s="9" t="s">
        <v>373</v>
      </c>
      <c r="E704" s="5" t="s">
        <v>67</v>
      </c>
      <c r="F704" s="5" t="s">
        <v>175</v>
      </c>
      <c r="G704" s="5" t="s">
        <v>178</v>
      </c>
      <c r="H704" s="5">
        <v>100</v>
      </c>
      <c r="I704" s="28">
        <v>3740</v>
      </c>
      <c r="J704" s="9">
        <v>0</v>
      </c>
      <c r="K704" s="14">
        <v>0</v>
      </c>
      <c r="L704" s="19" t="s">
        <v>90</v>
      </c>
      <c r="M704" s="15">
        <f t="shared" si="16"/>
        <v>374000</v>
      </c>
      <c r="N704" s="19">
        <v>7000</v>
      </c>
    </row>
    <row r="705" spans="1:14" x14ac:dyDescent="0.45">
      <c r="A705" s="4">
        <v>45951</v>
      </c>
      <c r="B705" s="4">
        <v>45953</v>
      </c>
      <c r="C705" s="5">
        <v>7974</v>
      </c>
      <c r="D705" s="9" t="s">
        <v>174</v>
      </c>
      <c r="E705" s="5" t="s">
        <v>67</v>
      </c>
      <c r="F705" s="5" t="s">
        <v>175</v>
      </c>
      <c r="G705" s="5" t="s">
        <v>178</v>
      </c>
      <c r="H705" s="5">
        <v>100</v>
      </c>
      <c r="I705" s="28">
        <v>13195</v>
      </c>
      <c r="J705" s="9">
        <v>0</v>
      </c>
      <c r="K705" s="14">
        <v>0</v>
      </c>
      <c r="L705" s="19" t="s">
        <v>90</v>
      </c>
      <c r="M705" s="15">
        <f t="shared" si="16"/>
        <v>1319500</v>
      </c>
      <c r="N705" s="19">
        <v>11000</v>
      </c>
    </row>
    <row r="706" spans="1:14" x14ac:dyDescent="0.45">
      <c r="A706" s="4">
        <v>45951</v>
      </c>
      <c r="B706" s="4">
        <v>45953</v>
      </c>
      <c r="C706" s="5">
        <v>5803</v>
      </c>
      <c r="D706" s="9" t="s">
        <v>309</v>
      </c>
      <c r="E706" s="5" t="s">
        <v>67</v>
      </c>
      <c r="F706" s="5" t="s">
        <v>175</v>
      </c>
      <c r="G706" s="5" t="s">
        <v>178</v>
      </c>
      <c r="H706" s="5">
        <v>100</v>
      </c>
      <c r="I706" s="28">
        <v>16860</v>
      </c>
      <c r="J706" s="9">
        <v>0</v>
      </c>
      <c r="K706" s="14">
        <v>0</v>
      </c>
      <c r="L706" s="19" t="s">
        <v>90</v>
      </c>
      <c r="M706" s="15">
        <f t="shared" si="16"/>
        <v>1686000</v>
      </c>
      <c r="N706" s="19">
        <v>14000</v>
      </c>
    </row>
    <row r="707" spans="1:14" x14ac:dyDescent="0.45">
      <c r="A707" s="4">
        <v>45951</v>
      </c>
      <c r="B707" s="4">
        <v>45953</v>
      </c>
      <c r="C707" s="5">
        <v>8136</v>
      </c>
      <c r="D707" s="9" t="s">
        <v>342</v>
      </c>
      <c r="E707" s="5" t="s">
        <v>67</v>
      </c>
      <c r="F707" s="5" t="s">
        <v>175</v>
      </c>
      <c r="G707" s="5" t="s">
        <v>178</v>
      </c>
      <c r="H707" s="5">
        <v>100</v>
      </c>
      <c r="I707" s="28">
        <v>7562.5</v>
      </c>
      <c r="J707" s="9">
        <v>0</v>
      </c>
      <c r="K707" s="14">
        <v>0</v>
      </c>
      <c r="L707" s="19" t="s">
        <v>90</v>
      </c>
      <c r="M707" s="15">
        <f t="shared" si="16"/>
        <v>756250</v>
      </c>
      <c r="N707" s="19">
        <v>13250</v>
      </c>
    </row>
    <row r="708" spans="1:14" x14ac:dyDescent="0.45">
      <c r="A708" s="4">
        <v>45951</v>
      </c>
      <c r="B708" s="4">
        <v>45953</v>
      </c>
      <c r="C708" s="5">
        <v>1662</v>
      </c>
      <c r="D708" s="9" t="s">
        <v>380</v>
      </c>
      <c r="E708" s="5" t="s">
        <v>67</v>
      </c>
      <c r="F708" s="5" t="s">
        <v>175</v>
      </c>
      <c r="G708" s="5" t="s">
        <v>178</v>
      </c>
      <c r="H708" s="5">
        <v>200</v>
      </c>
      <c r="I708" s="28">
        <v>1258</v>
      </c>
      <c r="J708" s="9">
        <v>0</v>
      </c>
      <c r="K708" s="14">
        <v>0</v>
      </c>
      <c r="L708" s="19" t="s">
        <v>90</v>
      </c>
      <c r="M708" s="15">
        <f t="shared" si="16"/>
        <v>251600</v>
      </c>
      <c r="N708" s="19">
        <v>4600</v>
      </c>
    </row>
    <row r="709" spans="1:14" x14ac:dyDescent="0.45">
      <c r="A709" s="4">
        <v>45952</v>
      </c>
      <c r="B709" s="4">
        <v>45954</v>
      </c>
      <c r="C709" s="5">
        <v>5602</v>
      </c>
      <c r="D709" s="9" t="s">
        <v>364</v>
      </c>
      <c r="E709" s="5" t="s">
        <v>67</v>
      </c>
      <c r="F709" s="5" t="s">
        <v>175</v>
      </c>
      <c r="G709" s="5" t="s">
        <v>30</v>
      </c>
      <c r="H709" s="5">
        <v>100</v>
      </c>
      <c r="I709" s="28">
        <v>1829</v>
      </c>
      <c r="J709" s="9">
        <v>0</v>
      </c>
      <c r="K709" s="14">
        <v>0</v>
      </c>
      <c r="L709" s="21" t="s">
        <v>381</v>
      </c>
      <c r="M709" s="15">
        <f t="shared" si="16"/>
        <v>182900</v>
      </c>
      <c r="N709" s="19">
        <v>0</v>
      </c>
    </row>
    <row r="710" spans="1:14" x14ac:dyDescent="0.45">
      <c r="A710" s="4">
        <v>45954</v>
      </c>
      <c r="B710" s="4">
        <v>45958</v>
      </c>
      <c r="C710" s="5">
        <v>7013</v>
      </c>
      <c r="D710" s="9" t="s">
        <v>374</v>
      </c>
      <c r="E710" s="5" t="s">
        <v>67</v>
      </c>
      <c r="F710" s="5" t="s">
        <v>175</v>
      </c>
      <c r="G710" s="5" t="s">
        <v>178</v>
      </c>
      <c r="H710" s="5">
        <v>100</v>
      </c>
      <c r="I710" s="28">
        <v>3094.2</v>
      </c>
      <c r="J710" s="9">
        <v>0</v>
      </c>
      <c r="K710" s="14">
        <v>0</v>
      </c>
      <c r="L710" s="19" t="s">
        <v>90</v>
      </c>
      <c r="M710" s="15">
        <f t="shared" si="16"/>
        <v>309420</v>
      </c>
      <c r="N710" s="19">
        <v>1420</v>
      </c>
    </row>
    <row r="711" spans="1:14" x14ac:dyDescent="0.45">
      <c r="A711" s="4">
        <v>45954</v>
      </c>
      <c r="B711" s="4">
        <v>45958</v>
      </c>
      <c r="C711" s="5">
        <v>1802</v>
      </c>
      <c r="D711" s="9" t="s">
        <v>383</v>
      </c>
      <c r="E711" s="5" t="s">
        <v>67</v>
      </c>
      <c r="F711" s="5" t="s">
        <v>175</v>
      </c>
      <c r="G711" s="5" t="s">
        <v>30</v>
      </c>
      <c r="H711" s="5">
        <v>200</v>
      </c>
      <c r="I711" s="28">
        <v>2601</v>
      </c>
      <c r="J711" s="9">
        <v>0</v>
      </c>
      <c r="K711" s="14">
        <v>0</v>
      </c>
      <c r="L711" s="21" t="s">
        <v>381</v>
      </c>
      <c r="M711" s="15">
        <f t="shared" si="16"/>
        <v>520200</v>
      </c>
      <c r="N711" s="19">
        <v>0</v>
      </c>
    </row>
    <row r="712" spans="1:14" x14ac:dyDescent="0.45">
      <c r="A712" s="4">
        <v>45954</v>
      </c>
      <c r="B712" s="4">
        <v>45958</v>
      </c>
      <c r="C712" s="5">
        <v>4493</v>
      </c>
      <c r="D712" s="9" t="s">
        <v>382</v>
      </c>
      <c r="E712" s="5" t="s">
        <v>67</v>
      </c>
      <c r="F712" s="5" t="s">
        <v>175</v>
      </c>
      <c r="G712" s="5" t="s">
        <v>30</v>
      </c>
      <c r="H712" s="5">
        <v>100</v>
      </c>
      <c r="I712" s="28">
        <v>2084.9</v>
      </c>
      <c r="J712" s="9">
        <v>0</v>
      </c>
      <c r="K712" s="14">
        <v>0</v>
      </c>
      <c r="L712" s="21" t="s">
        <v>381</v>
      </c>
      <c r="M712" s="15">
        <f t="shared" si="16"/>
        <v>208490</v>
      </c>
      <c r="N712" s="19">
        <v>0</v>
      </c>
    </row>
    <row r="713" spans="1:14" x14ac:dyDescent="0.45">
      <c r="A713" s="4">
        <v>45957</v>
      </c>
      <c r="B713" s="4">
        <v>45959</v>
      </c>
      <c r="C713" s="5">
        <v>7012</v>
      </c>
      <c r="D713" s="9" t="s">
        <v>183</v>
      </c>
      <c r="E713" s="5" t="s">
        <v>67</v>
      </c>
      <c r="F713" s="5" t="s">
        <v>175</v>
      </c>
      <c r="G713" s="5" t="s">
        <v>178</v>
      </c>
      <c r="H713" s="5">
        <v>100</v>
      </c>
      <c r="I713" s="28">
        <v>12700</v>
      </c>
      <c r="J713" s="9">
        <v>0</v>
      </c>
      <c r="K713" s="14">
        <v>0</v>
      </c>
      <c r="L713" s="19" t="s">
        <v>90</v>
      </c>
      <c r="M713" s="15">
        <f t="shared" si="16"/>
        <v>1270000</v>
      </c>
      <c r="N713" s="19">
        <v>255000</v>
      </c>
    </row>
    <row r="714" spans="1:14" x14ac:dyDescent="0.45">
      <c r="A714" s="4">
        <v>45958</v>
      </c>
      <c r="B714" s="4">
        <v>45960</v>
      </c>
      <c r="C714" s="5">
        <v>1802</v>
      </c>
      <c r="D714" s="9" t="s">
        <v>51</v>
      </c>
      <c r="E714" s="5" t="s">
        <v>67</v>
      </c>
      <c r="F714" s="5" t="s">
        <v>175</v>
      </c>
      <c r="G714" s="5" t="s">
        <v>30</v>
      </c>
      <c r="H714" s="5">
        <v>100</v>
      </c>
      <c r="I714" s="28">
        <v>2590.5</v>
      </c>
      <c r="J714" s="9">
        <v>0</v>
      </c>
      <c r="K714" s="14">
        <v>0</v>
      </c>
      <c r="L714" s="21" t="s">
        <v>384</v>
      </c>
      <c r="M714" s="15">
        <f t="shared" si="16"/>
        <v>259050</v>
      </c>
      <c r="N714" s="19">
        <v>0</v>
      </c>
    </row>
    <row r="715" spans="1:14" x14ac:dyDescent="0.45">
      <c r="A715" s="4">
        <v>45959</v>
      </c>
      <c r="B715" s="4">
        <v>45961</v>
      </c>
      <c r="C715" s="5">
        <v>1802</v>
      </c>
      <c r="D715" s="9" t="s">
        <v>51</v>
      </c>
      <c r="E715" s="5" t="s">
        <v>67</v>
      </c>
      <c r="F715" s="5" t="s">
        <v>175</v>
      </c>
      <c r="G715" s="5" t="s">
        <v>178</v>
      </c>
      <c r="H715" s="5">
        <v>300</v>
      </c>
      <c r="I715" s="28">
        <v>2599.5</v>
      </c>
      <c r="J715" s="9">
        <v>0</v>
      </c>
      <c r="K715" s="14">
        <v>0</v>
      </c>
      <c r="L715" s="19" t="s">
        <v>90</v>
      </c>
      <c r="M715" s="15">
        <f t="shared" si="16"/>
        <v>779850</v>
      </c>
      <c r="N715" s="19">
        <f>300+150</f>
        <v>450</v>
      </c>
    </row>
    <row r="716" spans="1:14" x14ac:dyDescent="0.45">
      <c r="A716" s="4">
        <v>45959</v>
      </c>
      <c r="B716" s="4">
        <v>45961</v>
      </c>
      <c r="C716" s="5">
        <v>7203</v>
      </c>
      <c r="D716" s="9" t="s">
        <v>385</v>
      </c>
      <c r="E716" s="5" t="s">
        <v>67</v>
      </c>
      <c r="F716" s="5" t="s">
        <v>175</v>
      </c>
      <c r="G716" s="5" t="s">
        <v>178</v>
      </c>
      <c r="H716" s="5">
        <v>100</v>
      </c>
      <c r="I716" s="28">
        <v>3161</v>
      </c>
      <c r="J716" s="9">
        <v>0</v>
      </c>
      <c r="K716" s="14">
        <v>0</v>
      </c>
      <c r="L716" s="19" t="s">
        <v>90</v>
      </c>
      <c r="M716" s="15">
        <f t="shared" si="16"/>
        <v>316100</v>
      </c>
      <c r="N716" s="19">
        <v>2100</v>
      </c>
    </row>
    <row r="717" spans="1:14" x14ac:dyDescent="0.45">
      <c r="A717" s="4">
        <v>45960</v>
      </c>
      <c r="B717" s="4">
        <v>45965</v>
      </c>
      <c r="C717" s="5">
        <v>8316</v>
      </c>
      <c r="D717" s="9" t="s">
        <v>386</v>
      </c>
      <c r="E717" s="5" t="s">
        <v>67</v>
      </c>
      <c r="F717" s="5" t="s">
        <v>175</v>
      </c>
      <c r="G717" s="5" t="s">
        <v>30</v>
      </c>
      <c r="H717" s="5">
        <v>100</v>
      </c>
      <c r="I717" s="28">
        <v>4130</v>
      </c>
      <c r="J717" s="9">
        <v>0</v>
      </c>
      <c r="K717" s="14">
        <v>0</v>
      </c>
      <c r="L717" s="21" t="s">
        <v>384</v>
      </c>
      <c r="M717" s="15">
        <f t="shared" si="16"/>
        <v>413000</v>
      </c>
      <c r="N717" s="19">
        <v>0</v>
      </c>
    </row>
    <row r="718" spans="1:14" x14ac:dyDescent="0.45">
      <c r="A718" s="4">
        <v>45965</v>
      </c>
      <c r="B718" s="4">
        <v>45967</v>
      </c>
      <c r="C718" s="5">
        <v>1343</v>
      </c>
      <c r="D718" s="9" t="s">
        <v>387</v>
      </c>
      <c r="E718" s="5" t="s">
        <v>67</v>
      </c>
      <c r="F718" s="5" t="s">
        <v>175</v>
      </c>
      <c r="G718" s="5" t="s">
        <v>30</v>
      </c>
      <c r="H718" s="5">
        <v>50</v>
      </c>
      <c r="I718" s="28">
        <v>2141</v>
      </c>
      <c r="J718" s="9">
        <v>0</v>
      </c>
      <c r="K718" s="14">
        <v>0</v>
      </c>
      <c r="L718" s="21" t="s">
        <v>388</v>
      </c>
      <c r="M718" s="15">
        <f t="shared" si="16"/>
        <v>107050</v>
      </c>
      <c r="N718" s="19">
        <v>0</v>
      </c>
    </row>
    <row r="719" spans="1:14" x14ac:dyDescent="0.45">
      <c r="A719" s="4">
        <v>45965</v>
      </c>
      <c r="B719" s="4">
        <v>45967</v>
      </c>
      <c r="C719" s="5">
        <v>1540</v>
      </c>
      <c r="D719" s="9" t="s">
        <v>372</v>
      </c>
      <c r="E719" s="5" t="s">
        <v>67</v>
      </c>
      <c r="F719" s="5" t="s">
        <v>175</v>
      </c>
      <c r="G719" s="5" t="s">
        <v>30</v>
      </c>
      <c r="H719" s="5">
        <v>10</v>
      </c>
      <c r="I719" s="28">
        <v>19269</v>
      </c>
      <c r="J719" s="9">
        <v>0</v>
      </c>
      <c r="K719" s="14">
        <v>0</v>
      </c>
      <c r="L719" s="21" t="s">
        <v>388</v>
      </c>
      <c r="M719" s="15">
        <f t="shared" si="16"/>
        <v>192690</v>
      </c>
      <c r="N719" s="19">
        <v>0</v>
      </c>
    </row>
    <row r="720" spans="1:14" x14ac:dyDescent="0.45">
      <c r="A720" s="4">
        <v>45965</v>
      </c>
      <c r="B720" s="4">
        <v>45967</v>
      </c>
      <c r="C720" s="5">
        <v>1541</v>
      </c>
      <c r="D720" s="9" t="s">
        <v>369</v>
      </c>
      <c r="E720" s="5" t="s">
        <v>67</v>
      </c>
      <c r="F720" s="5" t="s">
        <v>175</v>
      </c>
      <c r="G720" s="5" t="s">
        <v>30</v>
      </c>
      <c r="H720" s="5">
        <v>10</v>
      </c>
      <c r="I720" s="28">
        <v>7225</v>
      </c>
      <c r="J720" s="9">
        <v>0</v>
      </c>
      <c r="K720" s="14">
        <v>0</v>
      </c>
      <c r="L720" s="21" t="s">
        <v>388</v>
      </c>
      <c r="M720" s="15">
        <f t="shared" si="16"/>
        <v>72250</v>
      </c>
      <c r="N720" s="19">
        <v>0</v>
      </c>
    </row>
    <row r="721" spans="1:14" x14ac:dyDescent="0.45">
      <c r="A721" s="4">
        <v>45965</v>
      </c>
      <c r="B721" s="4">
        <v>45967</v>
      </c>
      <c r="C721" s="5">
        <v>3741</v>
      </c>
      <c r="D721" s="9" t="s">
        <v>389</v>
      </c>
      <c r="E721" s="5" t="s">
        <v>67</v>
      </c>
      <c r="F721" s="5" t="s">
        <v>175</v>
      </c>
      <c r="G721" s="5" t="s">
        <v>30</v>
      </c>
      <c r="H721" s="5">
        <v>100</v>
      </c>
      <c r="I721" s="28">
        <v>2705</v>
      </c>
      <c r="J721" s="9">
        <v>0</v>
      </c>
      <c r="K721" s="14">
        <v>0</v>
      </c>
      <c r="L721" s="21" t="s">
        <v>388</v>
      </c>
      <c r="M721" s="15">
        <f t="shared" si="16"/>
        <v>270500</v>
      </c>
      <c r="N721" s="19">
        <v>0</v>
      </c>
    </row>
    <row r="722" spans="1:14" x14ac:dyDescent="0.45">
      <c r="A722" s="4">
        <v>45965</v>
      </c>
      <c r="B722" s="4">
        <v>45967</v>
      </c>
      <c r="C722" s="5">
        <v>6506</v>
      </c>
      <c r="D722" s="9" t="s">
        <v>390</v>
      </c>
      <c r="E722" s="5" t="s">
        <v>67</v>
      </c>
      <c r="F722" s="5" t="s">
        <v>175</v>
      </c>
      <c r="G722" s="5" t="s">
        <v>30</v>
      </c>
      <c r="H722" s="5">
        <v>100</v>
      </c>
      <c r="I722" s="28">
        <v>4428.5</v>
      </c>
      <c r="J722" s="9">
        <v>0</v>
      </c>
      <c r="K722" s="14">
        <v>0</v>
      </c>
      <c r="L722" s="21" t="s">
        <v>388</v>
      </c>
      <c r="M722" s="15">
        <f t="shared" si="16"/>
        <v>442850</v>
      </c>
      <c r="N722" s="19">
        <v>0</v>
      </c>
    </row>
    <row r="723" spans="1:14" x14ac:dyDescent="0.45">
      <c r="A723" s="4">
        <v>45965</v>
      </c>
      <c r="B723" s="4">
        <v>45967</v>
      </c>
      <c r="C723" s="5">
        <v>8136</v>
      </c>
      <c r="D723" s="9" t="s">
        <v>342</v>
      </c>
      <c r="E723" s="5" t="s">
        <v>67</v>
      </c>
      <c r="F723" s="5" t="s">
        <v>175</v>
      </c>
      <c r="G723" s="5" t="s">
        <v>30</v>
      </c>
      <c r="H723" s="5">
        <v>100</v>
      </c>
      <c r="I723" s="28">
        <v>7311</v>
      </c>
      <c r="J723" s="9">
        <v>0</v>
      </c>
      <c r="K723" s="14">
        <v>0</v>
      </c>
      <c r="L723" s="21" t="s">
        <v>388</v>
      </c>
      <c r="M723" s="15">
        <f t="shared" si="16"/>
        <v>731100</v>
      </c>
      <c r="N723" s="19">
        <v>0</v>
      </c>
    </row>
    <row r="724" spans="1:14" x14ac:dyDescent="0.45">
      <c r="A724" s="4">
        <v>45966</v>
      </c>
      <c r="B724" s="4">
        <v>45968</v>
      </c>
      <c r="C724" s="5">
        <v>5801</v>
      </c>
      <c r="D724" s="9" t="s">
        <v>391</v>
      </c>
      <c r="E724" s="5" t="s">
        <v>67</v>
      </c>
      <c r="F724" s="5" t="s">
        <v>175</v>
      </c>
      <c r="G724" s="5" t="s">
        <v>30</v>
      </c>
      <c r="H724" s="5">
        <v>100</v>
      </c>
      <c r="I724" s="28">
        <v>10120</v>
      </c>
      <c r="J724" s="9">
        <v>0</v>
      </c>
      <c r="K724" s="14">
        <v>0</v>
      </c>
      <c r="L724" s="21" t="s">
        <v>388</v>
      </c>
      <c r="M724" s="15">
        <f t="shared" si="16"/>
        <v>1012000</v>
      </c>
      <c r="N724" s="19">
        <v>0</v>
      </c>
    </row>
    <row r="725" spans="1:14" x14ac:dyDescent="0.45">
      <c r="A725" s="4">
        <v>45966</v>
      </c>
      <c r="B725" s="4">
        <v>45968</v>
      </c>
      <c r="C725" s="5">
        <v>7974</v>
      </c>
      <c r="D725" s="9" t="s">
        <v>174</v>
      </c>
      <c r="E725" s="5" t="s">
        <v>67</v>
      </c>
      <c r="F725" s="5" t="s">
        <v>175</v>
      </c>
      <c r="G725" s="5" t="s">
        <v>30</v>
      </c>
      <c r="H725" s="5">
        <v>100</v>
      </c>
      <c r="I725" s="28">
        <v>14000</v>
      </c>
      <c r="J725" s="9">
        <v>0</v>
      </c>
      <c r="K725" s="14">
        <v>0</v>
      </c>
      <c r="L725" s="21" t="s">
        <v>388</v>
      </c>
      <c r="M725" s="15">
        <f t="shared" si="16"/>
        <v>1400000</v>
      </c>
      <c r="N725" s="19">
        <v>0</v>
      </c>
    </row>
    <row r="726" spans="1:14" x14ac:dyDescent="0.45">
      <c r="A726" s="4">
        <v>45967</v>
      </c>
      <c r="B726" s="4">
        <v>45971</v>
      </c>
      <c r="C726" s="5">
        <v>5801</v>
      </c>
      <c r="D726" s="9" t="s">
        <v>391</v>
      </c>
      <c r="E726" s="5" t="s">
        <v>67</v>
      </c>
      <c r="F726" s="5" t="s">
        <v>175</v>
      </c>
      <c r="G726" s="5" t="s">
        <v>178</v>
      </c>
      <c r="H726" s="5">
        <v>100</v>
      </c>
      <c r="I726" s="25">
        <v>14040</v>
      </c>
      <c r="J726" s="9">
        <v>0</v>
      </c>
      <c r="K726" s="9">
        <v>0</v>
      </c>
      <c r="L726" s="19" t="s">
        <v>90</v>
      </c>
      <c r="M726" s="15">
        <f t="shared" si="16"/>
        <v>1404000</v>
      </c>
      <c r="N726" s="19">
        <v>8000</v>
      </c>
    </row>
    <row r="727" spans="1:14" x14ac:dyDescent="0.45">
      <c r="A727" s="4">
        <v>45968</v>
      </c>
      <c r="B727" s="4">
        <v>45972</v>
      </c>
      <c r="C727" s="5">
        <v>7974</v>
      </c>
      <c r="D727" s="9" t="s">
        <v>174</v>
      </c>
      <c r="E727" s="5" t="s">
        <v>67</v>
      </c>
      <c r="F727" s="5" t="s">
        <v>175</v>
      </c>
      <c r="G727" s="5" t="s">
        <v>178</v>
      </c>
      <c r="H727" s="5">
        <v>100</v>
      </c>
      <c r="I727" s="25">
        <v>10200</v>
      </c>
      <c r="J727" s="9">
        <v>0</v>
      </c>
      <c r="K727" s="9">
        <v>0</v>
      </c>
      <c r="L727" s="19" t="s">
        <v>90</v>
      </c>
      <c r="M727" s="15">
        <f t="shared" si="16"/>
        <v>1020000</v>
      </c>
      <c r="N727" s="19">
        <v>4000</v>
      </c>
    </row>
    <row r="728" spans="1:14" x14ac:dyDescent="0.45">
      <c r="A728" s="4">
        <v>45971</v>
      </c>
      <c r="B728" s="4">
        <v>45973</v>
      </c>
      <c r="C728" s="5">
        <v>9882</v>
      </c>
      <c r="D728" s="9" t="s">
        <v>392</v>
      </c>
      <c r="E728" s="5" t="s">
        <v>67</v>
      </c>
      <c r="F728" s="5" t="s">
        <v>29</v>
      </c>
      <c r="G728" s="5" t="s">
        <v>30</v>
      </c>
      <c r="H728" s="5">
        <v>100</v>
      </c>
      <c r="I728" s="7">
        <v>1545</v>
      </c>
      <c r="J728" s="9">
        <v>0</v>
      </c>
      <c r="K728" s="9">
        <v>0</v>
      </c>
      <c r="L728" s="9" t="s">
        <v>31</v>
      </c>
      <c r="M728" s="15">
        <f t="shared" si="16"/>
        <v>154500</v>
      </c>
      <c r="N728" s="19">
        <v>0</v>
      </c>
    </row>
    <row r="729" spans="1:14" x14ac:dyDescent="0.45">
      <c r="A729" s="4">
        <v>45972</v>
      </c>
      <c r="B729" s="4">
        <v>45974</v>
      </c>
      <c r="C729" s="5">
        <v>1540</v>
      </c>
      <c r="D729" s="9" t="s">
        <v>393</v>
      </c>
      <c r="E729" s="5" t="s">
        <v>67</v>
      </c>
      <c r="F729" s="5" t="s">
        <v>29</v>
      </c>
      <c r="G729" s="5" t="s">
        <v>30</v>
      </c>
      <c r="H729" s="5">
        <v>10</v>
      </c>
      <c r="I729" s="7">
        <v>19855</v>
      </c>
      <c r="J729" s="9">
        <v>0</v>
      </c>
      <c r="K729" s="9">
        <v>0</v>
      </c>
      <c r="L729" s="9" t="s">
        <v>31</v>
      </c>
      <c r="M729" s="15">
        <f t="shared" si="16"/>
        <v>198550</v>
      </c>
      <c r="N729" s="19">
        <v>0</v>
      </c>
    </row>
    <row r="730" spans="1:14" x14ac:dyDescent="0.45">
      <c r="A730" s="4">
        <v>45972</v>
      </c>
      <c r="B730" s="4">
        <v>45974</v>
      </c>
      <c r="C730" s="5">
        <v>1542</v>
      </c>
      <c r="D730" s="9" t="s">
        <v>394</v>
      </c>
      <c r="E730" s="5" t="s">
        <v>67</v>
      </c>
      <c r="F730" s="5" t="s">
        <v>29</v>
      </c>
      <c r="G730" s="5" t="s">
        <v>30</v>
      </c>
      <c r="H730" s="5">
        <v>10</v>
      </c>
      <c r="I730" s="7">
        <v>23225</v>
      </c>
      <c r="J730" s="9">
        <v>0</v>
      </c>
      <c r="K730" s="9">
        <v>0</v>
      </c>
      <c r="L730" s="9" t="s">
        <v>31</v>
      </c>
      <c r="M730" s="15">
        <f t="shared" si="16"/>
        <v>232250</v>
      </c>
      <c r="N730" s="19">
        <v>0</v>
      </c>
    </row>
    <row r="731" spans="1:14" x14ac:dyDescent="0.45">
      <c r="A731" s="4">
        <v>45972</v>
      </c>
      <c r="B731" s="4">
        <v>45974</v>
      </c>
      <c r="C731" s="5">
        <v>3741</v>
      </c>
      <c r="D731" s="9" t="s">
        <v>395</v>
      </c>
      <c r="E731" s="5" t="s">
        <v>67</v>
      </c>
      <c r="F731" s="5" t="s">
        <v>29</v>
      </c>
      <c r="G731" s="5" t="s">
        <v>30</v>
      </c>
      <c r="H731" s="5">
        <v>100</v>
      </c>
      <c r="I731" s="7">
        <v>2779</v>
      </c>
      <c r="J731" s="9">
        <v>0</v>
      </c>
      <c r="K731" s="9">
        <v>0</v>
      </c>
      <c r="L731" s="9" t="s">
        <v>31</v>
      </c>
      <c r="M731" s="15">
        <f t="shared" si="16"/>
        <v>277900</v>
      </c>
      <c r="N731" s="19">
        <v>0</v>
      </c>
    </row>
    <row r="732" spans="1:14" x14ac:dyDescent="0.45">
      <c r="A732" s="4">
        <v>45972</v>
      </c>
      <c r="B732" s="4">
        <v>45974</v>
      </c>
      <c r="C732" s="5">
        <v>9882</v>
      </c>
      <c r="D732" s="9" t="s">
        <v>392</v>
      </c>
      <c r="E732" s="5" t="s">
        <v>67</v>
      </c>
      <c r="F732" s="5" t="s">
        <v>29</v>
      </c>
      <c r="G732" s="5" t="s">
        <v>30</v>
      </c>
      <c r="H732" s="5">
        <v>100</v>
      </c>
      <c r="I732" s="7">
        <v>1530</v>
      </c>
      <c r="J732" s="9">
        <v>0</v>
      </c>
      <c r="K732" s="9">
        <v>0</v>
      </c>
      <c r="L732" s="9" t="s">
        <v>31</v>
      </c>
      <c r="M732" s="15">
        <f t="shared" si="16"/>
        <v>153000</v>
      </c>
      <c r="N732" s="19">
        <v>0</v>
      </c>
    </row>
    <row r="733" spans="1:14" x14ac:dyDescent="0.45">
      <c r="A733" s="4">
        <v>45973</v>
      </c>
      <c r="B733" s="4">
        <v>45975</v>
      </c>
      <c r="C733" s="5">
        <v>1541</v>
      </c>
      <c r="D733" s="9" t="s">
        <v>396</v>
      </c>
      <c r="E733" s="5" t="s">
        <v>67</v>
      </c>
      <c r="F733" s="5" t="s">
        <v>29</v>
      </c>
      <c r="G733" s="5" t="s">
        <v>30</v>
      </c>
      <c r="H733" s="5">
        <v>10</v>
      </c>
      <c r="I733" s="7">
        <v>7331</v>
      </c>
      <c r="J733" s="9">
        <v>0</v>
      </c>
      <c r="K733" s="9">
        <v>0</v>
      </c>
      <c r="L733" s="9" t="s">
        <v>31</v>
      </c>
      <c r="M733" s="15">
        <f t="shared" si="16"/>
        <v>73310</v>
      </c>
      <c r="N733" s="19">
        <v>0</v>
      </c>
    </row>
    <row r="734" spans="1:14" x14ac:dyDescent="0.45">
      <c r="A734" s="4">
        <v>45973</v>
      </c>
      <c r="B734" s="4">
        <v>45975</v>
      </c>
      <c r="C734" s="5">
        <v>1802</v>
      </c>
      <c r="D734" s="9" t="s">
        <v>38</v>
      </c>
      <c r="E734" s="5" t="s">
        <v>67</v>
      </c>
      <c r="F734" s="5" t="s">
        <v>29</v>
      </c>
      <c r="G734" s="5" t="s">
        <v>30</v>
      </c>
      <c r="H734" s="5">
        <v>100</v>
      </c>
      <c r="I734" s="7">
        <v>2829.5</v>
      </c>
      <c r="J734" s="9">
        <v>0</v>
      </c>
      <c r="K734" s="9">
        <v>0</v>
      </c>
      <c r="L734" s="9" t="s">
        <v>31</v>
      </c>
      <c r="M734" s="15">
        <f t="shared" si="16"/>
        <v>282950</v>
      </c>
      <c r="N734" s="19">
        <v>0</v>
      </c>
    </row>
    <row r="735" spans="1:14" x14ac:dyDescent="0.45">
      <c r="A735" s="4">
        <v>45973</v>
      </c>
      <c r="B735" s="4">
        <v>45975</v>
      </c>
      <c r="C735" s="5">
        <v>3692</v>
      </c>
      <c r="D735" s="9" t="s">
        <v>397</v>
      </c>
      <c r="E735" s="5" t="s">
        <v>67</v>
      </c>
      <c r="F735" s="5" t="s">
        <v>29</v>
      </c>
      <c r="G735" s="5" t="s">
        <v>30</v>
      </c>
      <c r="H735" s="5">
        <v>100</v>
      </c>
      <c r="I735" s="7">
        <v>10100</v>
      </c>
      <c r="J735" s="9">
        <v>0</v>
      </c>
      <c r="K735" s="9">
        <v>0</v>
      </c>
      <c r="L735" s="9" t="s">
        <v>31</v>
      </c>
      <c r="M735" s="15">
        <f t="shared" si="16"/>
        <v>1010000</v>
      </c>
      <c r="N735" s="19">
        <v>0</v>
      </c>
    </row>
    <row r="736" spans="1:14" x14ac:dyDescent="0.45">
      <c r="A736" s="4">
        <v>45973</v>
      </c>
      <c r="B736" s="4">
        <v>45975</v>
      </c>
      <c r="C736" s="5">
        <v>4519</v>
      </c>
      <c r="D736" s="9" t="s">
        <v>398</v>
      </c>
      <c r="E736" s="5" t="s">
        <v>67</v>
      </c>
      <c r="F736" s="5" t="s">
        <v>29</v>
      </c>
      <c r="G736" s="5" t="s">
        <v>30</v>
      </c>
      <c r="H736" s="5">
        <v>100</v>
      </c>
      <c r="I736" s="7">
        <v>7852.5</v>
      </c>
      <c r="J736" s="9">
        <v>0</v>
      </c>
      <c r="K736" s="9">
        <v>0</v>
      </c>
      <c r="L736" s="9" t="s">
        <v>31</v>
      </c>
      <c r="M736" s="15">
        <f t="shared" si="16"/>
        <v>785250</v>
      </c>
      <c r="N736" s="19">
        <v>0</v>
      </c>
    </row>
    <row r="737" spans="1:14" x14ac:dyDescent="0.45">
      <c r="A737" s="4">
        <v>45975</v>
      </c>
      <c r="B737" s="4">
        <v>45979</v>
      </c>
      <c r="C737" s="5">
        <v>1802</v>
      </c>
      <c r="D737" s="9" t="s">
        <v>38</v>
      </c>
      <c r="E737" s="5" t="s">
        <v>67</v>
      </c>
      <c r="F737" s="5" t="s">
        <v>29</v>
      </c>
      <c r="G737" s="5" t="s">
        <v>30</v>
      </c>
      <c r="H737" s="5">
        <v>100</v>
      </c>
      <c r="I737" s="7">
        <v>2852.5</v>
      </c>
      <c r="J737" s="9">
        <v>0</v>
      </c>
      <c r="K737" s="9">
        <v>0</v>
      </c>
      <c r="L737" s="9" t="s">
        <v>31</v>
      </c>
      <c r="M737" s="15">
        <f t="shared" si="16"/>
        <v>285250</v>
      </c>
      <c r="N737" s="19">
        <v>0</v>
      </c>
    </row>
    <row r="738" spans="1:14" x14ac:dyDescent="0.45">
      <c r="A738" s="4">
        <v>45975</v>
      </c>
      <c r="B738" s="4">
        <v>45979</v>
      </c>
      <c r="C738" s="5">
        <v>2802</v>
      </c>
      <c r="D738" s="9" t="s">
        <v>399</v>
      </c>
      <c r="E738" s="5" t="s">
        <v>67</v>
      </c>
      <c r="F738" s="5" t="s">
        <v>29</v>
      </c>
      <c r="G738" s="5" t="s">
        <v>30</v>
      </c>
      <c r="H738" s="5">
        <v>100</v>
      </c>
      <c r="I738" s="7">
        <v>3825</v>
      </c>
      <c r="J738" s="9">
        <v>0</v>
      </c>
      <c r="K738" s="9">
        <v>0</v>
      </c>
      <c r="L738" s="9" t="s">
        <v>31</v>
      </c>
      <c r="M738" s="15">
        <f t="shared" si="16"/>
        <v>382500</v>
      </c>
      <c r="N738" s="19">
        <v>0</v>
      </c>
    </row>
    <row r="739" spans="1:14" x14ac:dyDescent="0.45">
      <c r="A739" s="4">
        <v>45975</v>
      </c>
      <c r="B739" s="4">
        <v>45979</v>
      </c>
      <c r="C739" s="5">
        <v>5803</v>
      </c>
      <c r="D739" s="9" t="s">
        <v>400</v>
      </c>
      <c r="E739" s="5" t="s">
        <v>67</v>
      </c>
      <c r="F739" s="5" t="s">
        <v>29</v>
      </c>
      <c r="G739" s="5" t="s">
        <v>30</v>
      </c>
      <c r="H739" s="5">
        <v>100</v>
      </c>
      <c r="I739" s="7">
        <v>19605</v>
      </c>
      <c r="J739" s="9">
        <v>0</v>
      </c>
      <c r="K739" s="9">
        <v>0</v>
      </c>
      <c r="L739" s="9" t="s">
        <v>31</v>
      </c>
      <c r="M739" s="15">
        <f t="shared" si="16"/>
        <v>1960500</v>
      </c>
      <c r="N739" s="19">
        <v>0</v>
      </c>
    </row>
    <row r="740" spans="1:14" x14ac:dyDescent="0.45">
      <c r="A740" s="4">
        <v>45978</v>
      </c>
      <c r="B740" s="4">
        <v>45980</v>
      </c>
      <c r="C740" s="5">
        <v>1802</v>
      </c>
      <c r="D740" s="9" t="s">
        <v>38</v>
      </c>
      <c r="E740" s="5" t="s">
        <v>67</v>
      </c>
      <c r="F740" s="5" t="s">
        <v>29</v>
      </c>
      <c r="G740" s="5" t="s">
        <v>30</v>
      </c>
      <c r="H740" s="5">
        <v>100</v>
      </c>
      <c r="I740" s="7">
        <v>2858</v>
      </c>
      <c r="J740" s="9">
        <v>0</v>
      </c>
      <c r="K740" s="9">
        <v>0</v>
      </c>
      <c r="L740" s="9" t="s">
        <v>31</v>
      </c>
      <c r="M740" s="15">
        <f t="shared" si="16"/>
        <v>285800</v>
      </c>
      <c r="N740" s="19">
        <v>0</v>
      </c>
    </row>
    <row r="741" spans="1:14" x14ac:dyDescent="0.45">
      <c r="A741" s="4">
        <v>45978</v>
      </c>
      <c r="B741" s="4">
        <v>45980</v>
      </c>
      <c r="C741" s="5">
        <v>5803</v>
      </c>
      <c r="D741" s="9" t="s">
        <v>400</v>
      </c>
      <c r="E741" s="5" t="s">
        <v>67</v>
      </c>
      <c r="F741" s="5" t="s">
        <v>29</v>
      </c>
      <c r="G741" s="5" t="s">
        <v>41</v>
      </c>
      <c r="H741" s="5">
        <v>100</v>
      </c>
      <c r="I741" s="7">
        <v>19750.599999999999</v>
      </c>
      <c r="J741" s="9">
        <v>0</v>
      </c>
      <c r="K741" s="9">
        <v>0</v>
      </c>
      <c r="L741" s="9" t="s">
        <v>90</v>
      </c>
      <c r="M741" s="15">
        <f t="shared" si="16"/>
        <v>1975059.9999999998</v>
      </c>
      <c r="N741" s="19">
        <v>14560</v>
      </c>
    </row>
    <row r="742" spans="1:14" x14ac:dyDescent="0.45">
      <c r="A742" s="4">
        <v>45978</v>
      </c>
      <c r="B742" s="4">
        <v>45980</v>
      </c>
      <c r="C742" s="5">
        <v>9882</v>
      </c>
      <c r="D742" s="9" t="s">
        <v>392</v>
      </c>
      <c r="E742" s="5" t="s">
        <v>67</v>
      </c>
      <c r="F742" s="5" t="s">
        <v>29</v>
      </c>
      <c r="G742" s="5" t="s">
        <v>30</v>
      </c>
      <c r="H742" s="5">
        <v>100</v>
      </c>
      <c r="I742" s="7">
        <v>1585</v>
      </c>
      <c r="J742" s="9">
        <v>0</v>
      </c>
      <c r="K742" s="9">
        <v>0</v>
      </c>
      <c r="L742" s="9" t="s">
        <v>31</v>
      </c>
      <c r="M742" s="15">
        <f t="shared" ref="M742:M747" si="17">IF(G742="買付",H742*I742+SUM(J742:K742),H742*I742-SUM(J742:K742))</f>
        <v>158500</v>
      </c>
      <c r="N742" s="19">
        <v>0</v>
      </c>
    </row>
    <row r="743" spans="1:14" x14ac:dyDescent="0.45">
      <c r="A743" s="4">
        <v>45979</v>
      </c>
      <c r="B743" s="4">
        <v>45981</v>
      </c>
      <c r="C743" s="5">
        <v>9882</v>
      </c>
      <c r="D743" s="9" t="s">
        <v>392</v>
      </c>
      <c r="E743" s="5" t="s">
        <v>67</v>
      </c>
      <c r="F743" s="5" t="s">
        <v>29</v>
      </c>
      <c r="G743" s="5" t="s">
        <v>30</v>
      </c>
      <c r="H743" s="5">
        <v>100</v>
      </c>
      <c r="I743" s="7">
        <v>1568</v>
      </c>
      <c r="J743" s="9">
        <v>0</v>
      </c>
      <c r="K743" s="9">
        <v>0</v>
      </c>
      <c r="L743" s="9" t="s">
        <v>31</v>
      </c>
      <c r="M743" s="15">
        <f t="shared" si="17"/>
        <v>156800</v>
      </c>
      <c r="N743" s="19">
        <v>0</v>
      </c>
    </row>
    <row r="744" spans="1:14" x14ac:dyDescent="0.45">
      <c r="A744" s="4">
        <v>45981</v>
      </c>
      <c r="B744" s="4">
        <v>45986</v>
      </c>
      <c r="C744" s="5">
        <v>5108</v>
      </c>
      <c r="D744" s="9" t="s">
        <v>128</v>
      </c>
      <c r="E744" s="5" t="s">
        <v>67</v>
      </c>
      <c r="F744" s="5" t="s">
        <v>29</v>
      </c>
      <c r="G744" s="5" t="s">
        <v>41</v>
      </c>
      <c r="H744" s="5">
        <v>100</v>
      </c>
      <c r="I744" s="7">
        <v>7163</v>
      </c>
      <c r="J744" s="9">
        <v>0</v>
      </c>
      <c r="K744" s="9">
        <v>0</v>
      </c>
      <c r="L744" s="9" t="s">
        <v>90</v>
      </c>
      <c r="M744" s="15">
        <f t="shared" si="17"/>
        <v>716300</v>
      </c>
      <c r="N744" s="19">
        <v>33700</v>
      </c>
    </row>
    <row r="745" spans="1:14" x14ac:dyDescent="0.45">
      <c r="A745" s="4">
        <v>45981</v>
      </c>
      <c r="B745" s="4">
        <v>45986</v>
      </c>
      <c r="C745" s="5">
        <v>8316</v>
      </c>
      <c r="D745" s="9" t="s">
        <v>401</v>
      </c>
      <c r="E745" s="5" t="s">
        <v>67</v>
      </c>
      <c r="F745" s="5" t="s">
        <v>29</v>
      </c>
      <c r="G745" s="5" t="s">
        <v>41</v>
      </c>
      <c r="H745" s="5">
        <v>100</v>
      </c>
      <c r="I745" s="7">
        <v>4421</v>
      </c>
      <c r="J745" s="9">
        <v>0</v>
      </c>
      <c r="K745" s="9">
        <v>0</v>
      </c>
      <c r="L745" s="9" t="s">
        <v>90</v>
      </c>
      <c r="M745" s="15">
        <f t="shared" si="17"/>
        <v>442100</v>
      </c>
      <c r="N745" s="19">
        <v>29100</v>
      </c>
    </row>
    <row r="746" spans="1:14" x14ac:dyDescent="0.45">
      <c r="A746" s="4">
        <v>45982</v>
      </c>
      <c r="B746" s="4">
        <v>45987</v>
      </c>
      <c r="C746" s="5">
        <v>4519</v>
      </c>
      <c r="D746" s="9" t="s">
        <v>398</v>
      </c>
      <c r="E746" s="5" t="s">
        <v>67</v>
      </c>
      <c r="F746" s="5" t="s">
        <v>29</v>
      </c>
      <c r="G746" s="5" t="s">
        <v>41</v>
      </c>
      <c r="H746" s="5">
        <v>100</v>
      </c>
      <c r="I746" s="7">
        <v>8385</v>
      </c>
      <c r="J746" s="9">
        <v>0</v>
      </c>
      <c r="K746" s="9">
        <v>0</v>
      </c>
      <c r="L746" s="9" t="s">
        <v>90</v>
      </c>
      <c r="M746" s="15">
        <f t="shared" si="17"/>
        <v>838500</v>
      </c>
      <c r="N746" s="19">
        <v>53250</v>
      </c>
    </row>
    <row r="747" spans="1:14" x14ac:dyDescent="0.45">
      <c r="A747" s="4">
        <v>45982</v>
      </c>
      <c r="B747" s="4">
        <v>45987</v>
      </c>
      <c r="C747" s="5">
        <v>1802</v>
      </c>
      <c r="D747" s="9" t="s">
        <v>38</v>
      </c>
      <c r="E747" s="5" t="s">
        <v>67</v>
      </c>
      <c r="F747" s="5" t="s">
        <v>29</v>
      </c>
      <c r="G747" s="5" t="s">
        <v>41</v>
      </c>
      <c r="H747" s="5">
        <v>300</v>
      </c>
      <c r="I747" s="7">
        <v>3098</v>
      </c>
      <c r="J747" s="9">
        <v>0</v>
      </c>
      <c r="K747" s="9">
        <v>0</v>
      </c>
      <c r="L747" s="9" t="s">
        <v>90</v>
      </c>
      <c r="M747" s="15">
        <f t="shared" si="17"/>
        <v>929400</v>
      </c>
      <c r="N747" s="19">
        <v>75400</v>
      </c>
    </row>
    <row r="748" spans="1:14" x14ac:dyDescent="0.45">
      <c r="A748" s="4">
        <v>45986</v>
      </c>
      <c r="B748" s="4">
        <v>45988</v>
      </c>
      <c r="C748" s="5">
        <v>1542</v>
      </c>
      <c r="D748" s="9" t="s">
        <v>394</v>
      </c>
      <c r="E748" s="5" t="s">
        <v>67</v>
      </c>
      <c r="F748" s="5" t="s">
        <v>29</v>
      </c>
      <c r="G748" s="5" t="s">
        <v>41</v>
      </c>
      <c r="H748" s="5">
        <v>10</v>
      </c>
      <c r="I748" s="25">
        <v>23337</v>
      </c>
      <c r="J748" s="9">
        <v>0</v>
      </c>
      <c r="K748" s="9">
        <v>0</v>
      </c>
      <c r="L748" s="9" t="s">
        <v>90</v>
      </c>
      <c r="M748" s="15">
        <f t="shared" ref="M748:M815" si="18">IF(G748="買付",H748*I748+SUM(J748:K748),H748*I748-SUM(J748:K748))</f>
        <v>233370</v>
      </c>
      <c r="N748" s="19">
        <v>1120</v>
      </c>
    </row>
    <row r="749" spans="1:14" x14ac:dyDescent="0.45">
      <c r="A749" s="4">
        <v>45986</v>
      </c>
      <c r="B749" s="4">
        <v>45988</v>
      </c>
      <c r="C749" s="5">
        <v>9882</v>
      </c>
      <c r="D749" s="9" t="s">
        <v>392</v>
      </c>
      <c r="E749" s="5" t="s">
        <v>67</v>
      </c>
      <c r="F749" s="5" t="s">
        <v>29</v>
      </c>
      <c r="G749" s="5" t="s">
        <v>41</v>
      </c>
      <c r="H749" s="5">
        <v>400</v>
      </c>
      <c r="I749" s="7">
        <v>1643</v>
      </c>
      <c r="J749" s="9">
        <v>0</v>
      </c>
      <c r="K749" s="9">
        <v>0</v>
      </c>
      <c r="L749" s="9" t="s">
        <v>90</v>
      </c>
      <c r="M749" s="15">
        <f t="shared" si="18"/>
        <v>657200</v>
      </c>
      <c r="N749" s="19">
        <f>8600*4</f>
        <v>34400</v>
      </c>
    </row>
    <row r="750" spans="1:14" x14ac:dyDescent="0.45">
      <c r="A750" s="4">
        <v>45987</v>
      </c>
      <c r="B750" s="4">
        <v>45989</v>
      </c>
      <c r="C750" s="5">
        <v>7974</v>
      </c>
      <c r="D750" s="9" t="s">
        <v>174</v>
      </c>
      <c r="E750" s="5" t="s">
        <v>67</v>
      </c>
      <c r="F750" s="5" t="s">
        <v>29</v>
      </c>
      <c r="G750" s="5" t="s">
        <v>30</v>
      </c>
      <c r="H750" s="5">
        <v>100</v>
      </c>
      <c r="I750" s="7">
        <v>13250</v>
      </c>
      <c r="J750" s="9">
        <v>0</v>
      </c>
      <c r="K750" s="9">
        <v>0</v>
      </c>
      <c r="L750" s="9" t="s">
        <v>402</v>
      </c>
      <c r="M750" s="15">
        <f t="shared" si="18"/>
        <v>1325000</v>
      </c>
      <c r="N750" s="19">
        <v>0</v>
      </c>
    </row>
    <row r="751" spans="1:14" x14ac:dyDescent="0.45">
      <c r="A751" s="4">
        <v>45995</v>
      </c>
      <c r="B751" s="4">
        <v>45997</v>
      </c>
      <c r="C751" s="5">
        <v>7012</v>
      </c>
      <c r="D751" s="9" t="s">
        <v>183</v>
      </c>
      <c r="E751" s="5" t="s">
        <v>67</v>
      </c>
      <c r="F751" s="5" t="s">
        <v>175</v>
      </c>
      <c r="G751" s="5" t="s">
        <v>30</v>
      </c>
      <c r="H751" s="5">
        <v>100</v>
      </c>
      <c r="I751" s="7">
        <v>10533</v>
      </c>
      <c r="J751" s="9">
        <v>0</v>
      </c>
      <c r="K751" s="9">
        <v>0</v>
      </c>
      <c r="L751" s="9" t="s">
        <v>177</v>
      </c>
      <c r="M751" s="15">
        <f t="shared" si="18"/>
        <v>1053300</v>
      </c>
      <c r="N751" s="19">
        <v>0</v>
      </c>
    </row>
    <row r="752" spans="1:14" x14ac:dyDescent="0.45">
      <c r="A752" s="4">
        <v>46000</v>
      </c>
      <c r="B752" s="4">
        <v>46002</v>
      </c>
      <c r="C752" s="5">
        <v>5021</v>
      </c>
      <c r="D752" s="9" t="s">
        <v>280</v>
      </c>
      <c r="E752" s="5" t="s">
        <v>67</v>
      </c>
      <c r="F752" s="5" t="s">
        <v>29</v>
      </c>
      <c r="G752" s="5" t="s">
        <v>41</v>
      </c>
      <c r="H752" s="5">
        <v>200</v>
      </c>
      <c r="I752" s="7">
        <v>4113</v>
      </c>
      <c r="J752" s="9">
        <v>0</v>
      </c>
      <c r="K752" s="9">
        <v>0</v>
      </c>
      <c r="L752" s="9" t="s">
        <v>90</v>
      </c>
      <c r="M752" s="15">
        <f t="shared" si="18"/>
        <v>822600</v>
      </c>
      <c r="N752" s="19">
        <f>34600*2</f>
        <v>69200</v>
      </c>
    </row>
    <row r="753" spans="1:14" x14ac:dyDescent="0.45">
      <c r="A753" s="4">
        <v>46000</v>
      </c>
      <c r="B753" s="4">
        <v>46002</v>
      </c>
      <c r="C753" s="5">
        <v>5802</v>
      </c>
      <c r="D753" s="9" t="s">
        <v>403</v>
      </c>
      <c r="E753" s="5" t="s">
        <v>67</v>
      </c>
      <c r="F753" s="5" t="s">
        <v>175</v>
      </c>
      <c r="G753" s="5" t="s">
        <v>30</v>
      </c>
      <c r="H753" s="5">
        <v>100</v>
      </c>
      <c r="I753" s="25">
        <v>7178.8</v>
      </c>
      <c r="J753" s="9">
        <v>0</v>
      </c>
      <c r="K753" s="9">
        <v>0</v>
      </c>
      <c r="L753" s="9" t="s">
        <v>177</v>
      </c>
      <c r="M753" s="15">
        <f t="shared" si="18"/>
        <v>717880</v>
      </c>
      <c r="N753" s="19">
        <v>0</v>
      </c>
    </row>
    <row r="754" spans="1:14" x14ac:dyDescent="0.45">
      <c r="A754" s="4">
        <v>46000</v>
      </c>
      <c r="B754" s="4">
        <v>46002</v>
      </c>
      <c r="C754" s="5">
        <v>5803</v>
      </c>
      <c r="D754" s="9" t="s">
        <v>400</v>
      </c>
      <c r="E754" s="5" t="s">
        <v>67</v>
      </c>
      <c r="F754" s="5" t="s">
        <v>175</v>
      </c>
      <c r="G754" s="5" t="s">
        <v>30</v>
      </c>
      <c r="H754" s="5">
        <v>100</v>
      </c>
      <c r="I754" s="25">
        <v>18510</v>
      </c>
      <c r="J754" s="9">
        <v>0</v>
      </c>
      <c r="K754" s="9">
        <v>0</v>
      </c>
      <c r="L754" s="9" t="s">
        <v>177</v>
      </c>
      <c r="M754" s="15">
        <f t="shared" si="18"/>
        <v>1851000</v>
      </c>
      <c r="N754" s="19">
        <v>0</v>
      </c>
    </row>
    <row r="755" spans="1:14" x14ac:dyDescent="0.45">
      <c r="A755" s="4">
        <v>46000</v>
      </c>
      <c r="B755" s="4">
        <v>46002</v>
      </c>
      <c r="C755" s="5">
        <v>6965</v>
      </c>
      <c r="D755" s="9" t="s">
        <v>404</v>
      </c>
      <c r="E755" s="5" t="s">
        <v>67</v>
      </c>
      <c r="F755" s="5" t="s">
        <v>175</v>
      </c>
      <c r="G755" s="5" t="s">
        <v>30</v>
      </c>
      <c r="H755" s="5">
        <v>100</v>
      </c>
      <c r="I755" s="25">
        <v>1796</v>
      </c>
      <c r="J755" s="9">
        <v>0</v>
      </c>
      <c r="K755" s="9">
        <v>0</v>
      </c>
      <c r="L755" s="9" t="s">
        <v>177</v>
      </c>
      <c r="M755" s="15">
        <f t="shared" si="18"/>
        <v>179600</v>
      </c>
      <c r="N755" s="19">
        <v>0</v>
      </c>
    </row>
    <row r="756" spans="1:14" x14ac:dyDescent="0.45">
      <c r="A756" s="4">
        <v>46003</v>
      </c>
      <c r="B756" s="4">
        <v>46007</v>
      </c>
      <c r="C756" s="5">
        <v>8031</v>
      </c>
      <c r="D756" s="9" t="s">
        <v>195</v>
      </c>
      <c r="E756" s="5" t="s">
        <v>67</v>
      </c>
      <c r="F756" s="5" t="s">
        <v>29</v>
      </c>
      <c r="G756" s="5" t="s">
        <v>41</v>
      </c>
      <c r="H756" s="5">
        <v>100</v>
      </c>
      <c r="I756" s="28">
        <v>4598.1000000000004</v>
      </c>
      <c r="J756" s="9">
        <v>0</v>
      </c>
      <c r="K756" s="9">
        <v>0</v>
      </c>
      <c r="L756" s="9" t="s">
        <v>90</v>
      </c>
      <c r="M756" s="15">
        <f t="shared" si="18"/>
        <v>459810.00000000006</v>
      </c>
      <c r="N756" s="19">
        <v>66010</v>
      </c>
    </row>
    <row r="757" spans="1:14" x14ac:dyDescent="0.45">
      <c r="A757" s="4">
        <v>46006</v>
      </c>
      <c r="B757" s="4">
        <v>46008</v>
      </c>
      <c r="C757" s="5">
        <v>6506</v>
      </c>
      <c r="D757" s="9" t="s">
        <v>406</v>
      </c>
      <c r="E757" s="5" t="s">
        <v>67</v>
      </c>
      <c r="F757" s="5" t="s">
        <v>29</v>
      </c>
      <c r="G757" s="5" t="s">
        <v>41</v>
      </c>
      <c r="H757" s="5">
        <v>100</v>
      </c>
      <c r="I757" s="7">
        <v>4908</v>
      </c>
      <c r="J757" s="9">
        <v>0</v>
      </c>
      <c r="K757" s="9">
        <v>0</v>
      </c>
      <c r="L757" s="9" t="s">
        <v>90</v>
      </c>
      <c r="M757" s="15">
        <f t="shared" si="18"/>
        <v>490800</v>
      </c>
      <c r="N757" s="19">
        <v>47900</v>
      </c>
    </row>
    <row r="758" spans="1:14" x14ac:dyDescent="0.45">
      <c r="A758" s="4">
        <v>46006</v>
      </c>
      <c r="B758" s="4">
        <v>46008</v>
      </c>
      <c r="C758" s="5">
        <v>7012</v>
      </c>
      <c r="D758" s="9" t="s">
        <v>69</v>
      </c>
      <c r="E758" s="5" t="s">
        <v>67</v>
      </c>
      <c r="F758" s="5" t="s">
        <v>29</v>
      </c>
      <c r="G758" s="5" t="s">
        <v>41</v>
      </c>
      <c r="H758" s="5">
        <v>100</v>
      </c>
      <c r="I758" s="7">
        <v>11521.5</v>
      </c>
      <c r="J758" s="9">
        <v>0</v>
      </c>
      <c r="K758" s="9">
        <v>0</v>
      </c>
      <c r="L758" s="9" t="s">
        <v>90</v>
      </c>
      <c r="M758" s="15">
        <f t="shared" si="18"/>
        <v>1152150</v>
      </c>
      <c r="N758" s="19">
        <v>98850</v>
      </c>
    </row>
    <row r="759" spans="1:14" x14ac:dyDescent="0.45">
      <c r="A759" s="4">
        <v>46007</v>
      </c>
      <c r="B759" s="4">
        <v>46009</v>
      </c>
      <c r="C759" s="5">
        <v>3741</v>
      </c>
      <c r="D759" s="9" t="s">
        <v>395</v>
      </c>
      <c r="E759" s="5" t="s">
        <v>67</v>
      </c>
      <c r="F759" s="5" t="s">
        <v>29</v>
      </c>
      <c r="G759" s="5" t="s">
        <v>41</v>
      </c>
      <c r="H759" s="5">
        <v>200</v>
      </c>
      <c r="I759" s="7">
        <v>2884</v>
      </c>
      <c r="J759" s="9">
        <v>0</v>
      </c>
      <c r="K759" s="9">
        <v>0</v>
      </c>
      <c r="L759" s="9" t="s">
        <v>90</v>
      </c>
      <c r="M759" s="15">
        <f t="shared" si="18"/>
        <v>576800</v>
      </c>
      <c r="N759" s="19">
        <f>14200*2</f>
        <v>28400</v>
      </c>
    </row>
    <row r="760" spans="1:14" x14ac:dyDescent="0.45">
      <c r="A760" s="4">
        <v>46007</v>
      </c>
      <c r="B760" s="4">
        <v>46009</v>
      </c>
      <c r="C760" s="5">
        <v>8031</v>
      </c>
      <c r="D760" s="9" t="s">
        <v>407</v>
      </c>
      <c r="E760" s="5" t="s">
        <v>67</v>
      </c>
      <c r="F760" s="5" t="s">
        <v>29</v>
      </c>
      <c r="G760" s="5" t="s">
        <v>41</v>
      </c>
      <c r="H760" s="5">
        <v>100</v>
      </c>
      <c r="I760" s="7">
        <v>4503</v>
      </c>
      <c r="J760" s="9">
        <v>0</v>
      </c>
      <c r="K760" s="9">
        <v>0</v>
      </c>
      <c r="L760" s="9" t="s">
        <v>90</v>
      </c>
      <c r="M760" s="15">
        <f t="shared" si="18"/>
        <v>450300</v>
      </c>
      <c r="N760" s="19">
        <v>56500</v>
      </c>
    </row>
    <row r="761" spans="1:14" x14ac:dyDescent="0.45">
      <c r="A761" s="4">
        <v>46010</v>
      </c>
      <c r="B761" s="4">
        <v>46014</v>
      </c>
      <c r="C761" s="5">
        <v>8267</v>
      </c>
      <c r="D761" s="9" t="s">
        <v>408</v>
      </c>
      <c r="E761" s="5" t="s">
        <v>67</v>
      </c>
      <c r="F761" s="5" t="s">
        <v>29</v>
      </c>
      <c r="G761" s="5" t="s">
        <v>30</v>
      </c>
      <c r="H761" s="5">
        <v>100</v>
      </c>
      <c r="I761" s="7">
        <v>2503.6</v>
      </c>
      <c r="J761" s="9">
        <v>0</v>
      </c>
      <c r="K761" s="9">
        <v>0</v>
      </c>
      <c r="L761" s="9" t="s">
        <v>31</v>
      </c>
      <c r="M761" s="15">
        <f t="shared" si="18"/>
        <v>250360</v>
      </c>
      <c r="N761" s="19">
        <v>0</v>
      </c>
    </row>
    <row r="762" spans="1:14" x14ac:dyDescent="0.45">
      <c r="A762" s="4">
        <v>46010</v>
      </c>
      <c r="B762" s="4">
        <v>46014</v>
      </c>
      <c r="C762" s="5">
        <v>1541</v>
      </c>
      <c r="D762" s="9" t="s">
        <v>396</v>
      </c>
      <c r="E762" s="5" t="s">
        <v>67</v>
      </c>
      <c r="F762" s="5" t="s">
        <v>29</v>
      </c>
      <c r="G762" s="5" t="s">
        <v>41</v>
      </c>
      <c r="H762" s="5">
        <v>4</v>
      </c>
      <c r="I762" s="7">
        <v>9046</v>
      </c>
      <c r="J762" s="9">
        <v>0</v>
      </c>
      <c r="K762" s="9">
        <v>0</v>
      </c>
      <c r="L762" s="9" t="s">
        <v>90</v>
      </c>
      <c r="M762" s="15">
        <f t="shared" si="18"/>
        <v>36184</v>
      </c>
      <c r="N762" s="19">
        <v>7072</v>
      </c>
    </row>
    <row r="763" spans="1:14" x14ac:dyDescent="0.45">
      <c r="A763" s="4">
        <v>46010</v>
      </c>
      <c r="B763" s="4">
        <v>46014</v>
      </c>
      <c r="C763" s="5">
        <v>1541</v>
      </c>
      <c r="D763" s="9" t="s">
        <v>396</v>
      </c>
      <c r="E763" s="5" t="s">
        <v>67</v>
      </c>
      <c r="F763" s="5" t="s">
        <v>29</v>
      </c>
      <c r="G763" s="5" t="s">
        <v>41</v>
      </c>
      <c r="H763" s="5">
        <v>16</v>
      </c>
      <c r="I763" s="7">
        <v>9046</v>
      </c>
      <c r="J763" s="9">
        <v>0</v>
      </c>
      <c r="K763" s="9">
        <v>0</v>
      </c>
      <c r="L763" s="9" t="s">
        <v>90</v>
      </c>
      <c r="M763" s="15">
        <f t="shared" si="18"/>
        <v>144736</v>
      </c>
      <c r="N763" s="19">
        <v>28288</v>
      </c>
    </row>
    <row r="764" spans="1:14" x14ac:dyDescent="0.45">
      <c r="A764" s="4">
        <v>46013</v>
      </c>
      <c r="B764" s="4">
        <v>46015</v>
      </c>
      <c r="C764" s="5">
        <v>2802</v>
      </c>
      <c r="D764" s="9" t="s">
        <v>399</v>
      </c>
      <c r="E764" s="5" t="s">
        <v>67</v>
      </c>
      <c r="F764" s="5" t="s">
        <v>29</v>
      </c>
      <c r="G764" s="5" t="s">
        <v>41</v>
      </c>
      <c r="H764" s="5">
        <v>100</v>
      </c>
      <c r="I764" s="7">
        <v>3292</v>
      </c>
      <c r="J764" s="9">
        <v>0</v>
      </c>
      <c r="K764" s="9">
        <v>0</v>
      </c>
      <c r="L764" s="9" t="s">
        <v>90</v>
      </c>
      <c r="M764" s="15">
        <f t="shared" si="18"/>
        <v>329200</v>
      </c>
      <c r="N764" s="19">
        <v>-53300</v>
      </c>
    </row>
    <row r="765" spans="1:14" x14ac:dyDescent="0.45">
      <c r="A765" s="4">
        <v>46013</v>
      </c>
      <c r="B765" s="4">
        <v>46015</v>
      </c>
      <c r="C765" s="5">
        <v>6590</v>
      </c>
      <c r="D765" s="9" t="s">
        <v>410</v>
      </c>
      <c r="E765" s="5" t="s">
        <v>67</v>
      </c>
      <c r="F765" s="5" t="s">
        <v>29</v>
      </c>
      <c r="G765" s="5" t="s">
        <v>41</v>
      </c>
      <c r="H765" s="5">
        <v>100</v>
      </c>
      <c r="I765" s="7">
        <v>18310</v>
      </c>
      <c r="J765" s="9">
        <v>0</v>
      </c>
      <c r="K765" s="9">
        <v>0</v>
      </c>
      <c r="L765" s="9" t="s">
        <v>90</v>
      </c>
      <c r="M765" s="15">
        <f t="shared" si="18"/>
        <v>1831000</v>
      </c>
      <c r="N765" s="19">
        <v>-14800</v>
      </c>
    </row>
    <row r="766" spans="1:14" x14ac:dyDescent="0.45">
      <c r="A766" s="4">
        <v>46013</v>
      </c>
      <c r="B766" s="4">
        <v>46015</v>
      </c>
      <c r="C766" s="5">
        <v>6965</v>
      </c>
      <c r="D766" s="9" t="s">
        <v>411</v>
      </c>
      <c r="E766" s="5" t="s">
        <v>67</v>
      </c>
      <c r="F766" s="5" t="s">
        <v>29</v>
      </c>
      <c r="G766" s="5" t="s">
        <v>41</v>
      </c>
      <c r="H766" s="5">
        <v>100</v>
      </c>
      <c r="I766" s="7">
        <v>1671</v>
      </c>
      <c r="J766" s="9">
        <v>0</v>
      </c>
      <c r="K766" s="9">
        <v>0</v>
      </c>
      <c r="L766" s="9" t="s">
        <v>90</v>
      </c>
      <c r="M766" s="15">
        <f t="shared" si="18"/>
        <v>167100</v>
      </c>
      <c r="N766" s="19">
        <v>-12500</v>
      </c>
    </row>
    <row r="767" spans="1:14" x14ac:dyDescent="0.45">
      <c r="A767" s="4">
        <v>46013</v>
      </c>
      <c r="B767" s="4">
        <v>46015</v>
      </c>
      <c r="C767" s="5">
        <v>8267</v>
      </c>
      <c r="D767" s="9" t="s">
        <v>408</v>
      </c>
      <c r="E767" s="5" t="s">
        <v>67</v>
      </c>
      <c r="F767" s="5" t="s">
        <v>29</v>
      </c>
      <c r="G767" s="5" t="s">
        <v>30</v>
      </c>
      <c r="H767" s="5">
        <v>100</v>
      </c>
      <c r="I767" s="7">
        <v>2421.4</v>
      </c>
      <c r="J767" s="9">
        <v>0</v>
      </c>
      <c r="K767" s="9">
        <v>0</v>
      </c>
      <c r="L767" s="9" t="s">
        <v>31</v>
      </c>
      <c r="M767" s="15">
        <f t="shared" si="18"/>
        <v>242140</v>
      </c>
      <c r="N767" s="19">
        <v>0</v>
      </c>
    </row>
    <row r="768" spans="1:14" x14ac:dyDescent="0.45">
      <c r="A768" s="4">
        <v>46017</v>
      </c>
      <c r="B768" s="4">
        <v>46021</v>
      </c>
      <c r="C768" s="5">
        <v>5803</v>
      </c>
      <c r="D768" s="9" t="s">
        <v>400</v>
      </c>
      <c r="E768" s="5" t="s">
        <v>67</v>
      </c>
      <c r="F768" s="5" t="s">
        <v>29</v>
      </c>
      <c r="G768" s="5" t="s">
        <v>41</v>
      </c>
      <c r="H768" s="5">
        <v>100</v>
      </c>
      <c r="I768" s="7">
        <v>17103.3</v>
      </c>
      <c r="J768" s="9">
        <v>0</v>
      </c>
      <c r="K768" s="9">
        <v>0</v>
      </c>
      <c r="L768" s="9" t="s">
        <v>90</v>
      </c>
      <c r="M768" s="15">
        <f t="shared" si="18"/>
        <v>1710330</v>
      </c>
      <c r="N768" s="19">
        <v>-140670</v>
      </c>
    </row>
    <row r="769" spans="1:14" x14ac:dyDescent="0.45">
      <c r="A769" s="4">
        <v>46017</v>
      </c>
      <c r="B769" s="4">
        <v>46021</v>
      </c>
      <c r="C769" s="5">
        <v>9684</v>
      </c>
      <c r="D769" s="9" t="s">
        <v>412</v>
      </c>
      <c r="E769" s="5" t="s">
        <v>67</v>
      </c>
      <c r="F769" s="5" t="s">
        <v>29</v>
      </c>
      <c r="G769" s="5" t="s">
        <v>30</v>
      </c>
      <c r="H769" s="5">
        <v>100</v>
      </c>
      <c r="I769" s="7">
        <v>2897.5</v>
      </c>
      <c r="J769" s="9">
        <v>0</v>
      </c>
      <c r="K769" s="9">
        <v>0</v>
      </c>
      <c r="L769" s="9" t="s">
        <v>31</v>
      </c>
      <c r="M769" s="15">
        <f t="shared" si="18"/>
        <v>289750</v>
      </c>
      <c r="N769" s="19">
        <v>0</v>
      </c>
    </row>
    <row r="770" spans="1:14" x14ac:dyDescent="0.45">
      <c r="A770" s="4">
        <v>46020</v>
      </c>
      <c r="B770" s="4">
        <v>46027</v>
      </c>
      <c r="C770" s="5">
        <v>1488</v>
      </c>
      <c r="D770" s="9" t="s">
        <v>419</v>
      </c>
      <c r="E770" s="5" t="s">
        <v>67</v>
      </c>
      <c r="F770" s="5" t="s">
        <v>29</v>
      </c>
      <c r="G770" s="5" t="s">
        <v>30</v>
      </c>
      <c r="H770" s="5">
        <v>45</v>
      </c>
      <c r="I770" s="7">
        <v>2088</v>
      </c>
      <c r="J770" s="9">
        <v>0</v>
      </c>
      <c r="K770" s="9">
        <v>0</v>
      </c>
      <c r="L770" s="9" t="s">
        <v>31</v>
      </c>
      <c r="M770" s="15">
        <f t="shared" si="18"/>
        <v>93960</v>
      </c>
      <c r="N770" s="19">
        <v>0</v>
      </c>
    </row>
    <row r="771" spans="1:14" x14ac:dyDescent="0.45">
      <c r="A771" s="4">
        <v>46020</v>
      </c>
      <c r="B771" s="4">
        <v>46027</v>
      </c>
      <c r="C771" s="5">
        <v>1540</v>
      </c>
      <c r="D771" s="9" t="s">
        <v>393</v>
      </c>
      <c r="E771" s="5" t="s">
        <v>67</v>
      </c>
      <c r="F771" s="5" t="s">
        <v>29</v>
      </c>
      <c r="G771" s="5" t="s">
        <v>30</v>
      </c>
      <c r="H771" s="5">
        <v>5</v>
      </c>
      <c r="I771" s="7">
        <v>21500</v>
      </c>
      <c r="J771" s="9">
        <v>0</v>
      </c>
      <c r="K771" s="9">
        <v>0</v>
      </c>
      <c r="L771" s="9" t="s">
        <v>31</v>
      </c>
      <c r="M771" s="15">
        <f t="shared" si="18"/>
        <v>107500</v>
      </c>
      <c r="N771" s="19">
        <v>0</v>
      </c>
    </row>
    <row r="772" spans="1:14" x14ac:dyDescent="0.45">
      <c r="A772" s="4">
        <v>46020</v>
      </c>
      <c r="B772" s="4">
        <v>46027</v>
      </c>
      <c r="C772" s="5">
        <v>6758</v>
      </c>
      <c r="D772" s="9" t="s">
        <v>420</v>
      </c>
      <c r="E772" s="5" t="s">
        <v>67</v>
      </c>
      <c r="F772" s="5" t="s">
        <v>29</v>
      </c>
      <c r="G772" s="5" t="s">
        <v>30</v>
      </c>
      <c r="H772" s="5">
        <v>100</v>
      </c>
      <c r="I772" s="7">
        <v>4040</v>
      </c>
      <c r="J772" s="9">
        <v>0</v>
      </c>
      <c r="K772" s="9">
        <v>0</v>
      </c>
      <c r="L772" s="9" t="s">
        <v>31</v>
      </c>
      <c r="M772" s="15">
        <f t="shared" si="18"/>
        <v>404000</v>
      </c>
      <c r="N772" s="19">
        <v>0</v>
      </c>
    </row>
    <row r="773" spans="1:14" x14ac:dyDescent="0.45">
      <c r="A773" s="4">
        <v>46027</v>
      </c>
      <c r="B773" s="4">
        <v>46029</v>
      </c>
      <c r="C773" s="5">
        <v>6330</v>
      </c>
      <c r="D773" s="9" t="s">
        <v>421</v>
      </c>
      <c r="E773" s="5" t="s">
        <v>67</v>
      </c>
      <c r="F773" s="5" t="s">
        <v>29</v>
      </c>
      <c r="G773" s="5" t="s">
        <v>30</v>
      </c>
      <c r="H773" s="5">
        <v>100</v>
      </c>
      <c r="I773" s="7">
        <v>3340</v>
      </c>
      <c r="J773" s="9">
        <v>0</v>
      </c>
      <c r="K773" s="9">
        <v>0</v>
      </c>
      <c r="L773" s="9" t="s">
        <v>31</v>
      </c>
      <c r="M773" s="15">
        <f t="shared" si="18"/>
        <v>334000</v>
      </c>
      <c r="N773" s="19">
        <v>0</v>
      </c>
    </row>
    <row r="774" spans="1:14" x14ac:dyDescent="0.45">
      <c r="A774" s="4">
        <v>46027</v>
      </c>
      <c r="B774" s="4">
        <v>46029</v>
      </c>
      <c r="C774" s="5">
        <v>6758</v>
      </c>
      <c r="D774" s="9" t="s">
        <v>420</v>
      </c>
      <c r="E774" s="5" t="s">
        <v>67</v>
      </c>
      <c r="F774" s="5" t="s">
        <v>29</v>
      </c>
      <c r="G774" s="5" t="s">
        <v>30</v>
      </c>
      <c r="H774" s="5">
        <v>100</v>
      </c>
      <c r="I774" s="7">
        <v>4107</v>
      </c>
      <c r="J774" s="9">
        <v>0</v>
      </c>
      <c r="K774" s="9">
        <v>0</v>
      </c>
      <c r="L774" s="9" t="s">
        <v>31</v>
      </c>
      <c r="M774" s="15">
        <f t="shared" si="18"/>
        <v>410700</v>
      </c>
      <c r="N774" s="19">
        <v>0</v>
      </c>
    </row>
    <row r="775" spans="1:14" x14ac:dyDescent="0.45">
      <c r="A775" s="4">
        <v>46027</v>
      </c>
      <c r="B775" s="4">
        <v>46029</v>
      </c>
      <c r="C775" s="5">
        <v>7012</v>
      </c>
      <c r="D775" s="9" t="s">
        <v>69</v>
      </c>
      <c r="E775" s="5" t="s">
        <v>67</v>
      </c>
      <c r="F775" s="5" t="s">
        <v>29</v>
      </c>
      <c r="G775" s="5" t="s">
        <v>30</v>
      </c>
      <c r="H775" s="5">
        <v>100</v>
      </c>
      <c r="I775" s="7">
        <v>11067</v>
      </c>
      <c r="J775" s="9">
        <v>0</v>
      </c>
      <c r="K775" s="9">
        <v>0</v>
      </c>
      <c r="L775" s="9" t="s">
        <v>31</v>
      </c>
      <c r="M775" s="15">
        <f t="shared" si="18"/>
        <v>1106700</v>
      </c>
      <c r="N775" s="19">
        <v>0</v>
      </c>
    </row>
    <row r="776" spans="1:14" x14ac:dyDescent="0.45">
      <c r="A776" s="4">
        <v>46027</v>
      </c>
      <c r="B776" s="4">
        <v>46029</v>
      </c>
      <c r="C776" s="5">
        <v>8001</v>
      </c>
      <c r="D776" s="9" t="s">
        <v>422</v>
      </c>
      <c r="E776" s="5" t="s">
        <v>67</v>
      </c>
      <c r="F776" s="5" t="s">
        <v>29</v>
      </c>
      <c r="G776" s="5" t="s">
        <v>30</v>
      </c>
      <c r="H776" s="5">
        <v>100</v>
      </c>
      <c r="I776" s="7">
        <v>2004.8</v>
      </c>
      <c r="J776" s="9">
        <v>0</v>
      </c>
      <c r="K776" s="9">
        <v>0</v>
      </c>
      <c r="L776" s="9" t="s">
        <v>31</v>
      </c>
      <c r="M776" s="15">
        <f t="shared" si="18"/>
        <v>200480</v>
      </c>
      <c r="N776" s="19">
        <v>0</v>
      </c>
    </row>
    <row r="777" spans="1:14" x14ac:dyDescent="0.45">
      <c r="A777" s="4">
        <v>46028</v>
      </c>
      <c r="B777" s="4">
        <v>46030</v>
      </c>
      <c r="C777" s="5">
        <v>1605</v>
      </c>
      <c r="D777" s="9" t="s">
        <v>423</v>
      </c>
      <c r="E777" s="5" t="s">
        <v>67</v>
      </c>
      <c r="F777" s="5" t="s">
        <v>29</v>
      </c>
      <c r="G777" s="5" t="s">
        <v>30</v>
      </c>
      <c r="H777" s="5">
        <v>100</v>
      </c>
      <c r="I777" s="7">
        <v>3179.8</v>
      </c>
      <c r="J777" s="9">
        <v>0</v>
      </c>
      <c r="K777" s="9">
        <v>0</v>
      </c>
      <c r="L777" s="9" t="s">
        <v>31</v>
      </c>
      <c r="M777" s="15">
        <f t="shared" si="18"/>
        <v>317980</v>
      </c>
      <c r="N777" s="19">
        <v>0</v>
      </c>
    </row>
    <row r="778" spans="1:14" x14ac:dyDescent="0.45">
      <c r="A778" s="4">
        <v>46028</v>
      </c>
      <c r="B778" s="4">
        <v>46030</v>
      </c>
      <c r="C778" s="5" t="s">
        <v>424</v>
      </c>
      <c r="D778" s="9" t="s">
        <v>425</v>
      </c>
      <c r="E778" s="5" t="s">
        <v>67</v>
      </c>
      <c r="F778" s="5" t="s">
        <v>29</v>
      </c>
      <c r="G778" s="5" t="s">
        <v>30</v>
      </c>
      <c r="H778" s="5">
        <v>200</v>
      </c>
      <c r="I778" s="12">
        <v>728.8</v>
      </c>
      <c r="J778" s="9">
        <v>0</v>
      </c>
      <c r="K778" s="9">
        <v>0</v>
      </c>
      <c r="L778" s="9" t="s">
        <v>31</v>
      </c>
      <c r="M778" s="15">
        <f t="shared" si="18"/>
        <v>145760</v>
      </c>
      <c r="N778" s="19">
        <v>0</v>
      </c>
    </row>
    <row r="779" spans="1:14" x14ac:dyDescent="0.45">
      <c r="A779" s="4">
        <v>46028</v>
      </c>
      <c r="B779" s="4">
        <v>46030</v>
      </c>
      <c r="C779" s="5" t="s">
        <v>424</v>
      </c>
      <c r="D779" s="9" t="s">
        <v>425</v>
      </c>
      <c r="E779" s="5" t="s">
        <v>67</v>
      </c>
      <c r="F779" s="5" t="s">
        <v>29</v>
      </c>
      <c r="G779" s="5" t="s">
        <v>30</v>
      </c>
      <c r="H779" s="5">
        <v>200</v>
      </c>
      <c r="I779" s="12">
        <v>728.6</v>
      </c>
      <c r="J779" s="9">
        <v>0</v>
      </c>
      <c r="K779" s="9">
        <v>0</v>
      </c>
      <c r="L779" s="9" t="s">
        <v>31</v>
      </c>
      <c r="M779" s="15">
        <f t="shared" si="18"/>
        <v>145720</v>
      </c>
      <c r="N779" s="19">
        <v>0</v>
      </c>
    </row>
    <row r="780" spans="1:14" x14ac:dyDescent="0.45">
      <c r="A780" s="4">
        <v>46028</v>
      </c>
      <c r="B780" s="4">
        <v>46030</v>
      </c>
      <c r="C780" s="5" t="s">
        <v>424</v>
      </c>
      <c r="D780" s="9" t="s">
        <v>425</v>
      </c>
      <c r="E780" s="5" t="s">
        <v>67</v>
      </c>
      <c r="F780" s="5" t="s">
        <v>29</v>
      </c>
      <c r="G780" s="5" t="s">
        <v>30</v>
      </c>
      <c r="H780" s="5">
        <v>100</v>
      </c>
      <c r="I780" s="12">
        <v>728.5</v>
      </c>
      <c r="J780" s="9">
        <v>0</v>
      </c>
      <c r="K780" s="9">
        <v>0</v>
      </c>
      <c r="L780" s="9" t="s">
        <v>31</v>
      </c>
      <c r="M780" s="15">
        <f t="shared" si="18"/>
        <v>72850</v>
      </c>
      <c r="N780" s="19">
        <v>0</v>
      </c>
    </row>
    <row r="781" spans="1:14" x14ac:dyDescent="0.45">
      <c r="A781" s="4">
        <v>46028</v>
      </c>
      <c r="B781" s="4">
        <v>46030</v>
      </c>
      <c r="C781" s="5">
        <v>7012</v>
      </c>
      <c r="D781" s="9" t="s">
        <v>69</v>
      </c>
      <c r="E781" s="5" t="s">
        <v>67</v>
      </c>
      <c r="F781" s="5" t="s">
        <v>29</v>
      </c>
      <c r="G781" s="5" t="s">
        <v>41</v>
      </c>
      <c r="H781" s="5">
        <v>100</v>
      </c>
      <c r="I781" s="7">
        <v>11800</v>
      </c>
      <c r="J781" s="9">
        <v>0</v>
      </c>
      <c r="K781" s="9">
        <v>0</v>
      </c>
      <c r="L781" s="9" t="s">
        <v>90</v>
      </c>
      <c r="M781" s="15">
        <f t="shared" si="18"/>
        <v>1180000</v>
      </c>
      <c r="N781" s="19">
        <v>73300</v>
      </c>
    </row>
    <row r="782" spans="1:14" x14ac:dyDescent="0.45">
      <c r="A782" s="4">
        <v>46028</v>
      </c>
      <c r="B782" s="4">
        <v>46030</v>
      </c>
      <c r="C782" s="5">
        <v>8766</v>
      </c>
      <c r="D782" s="9" t="s">
        <v>44</v>
      </c>
      <c r="E782" s="5" t="s">
        <v>67</v>
      </c>
      <c r="F782" s="5" t="s">
        <v>29</v>
      </c>
      <c r="G782" s="5" t="s">
        <v>30</v>
      </c>
      <c r="H782" s="5">
        <v>100</v>
      </c>
      <c r="I782" s="7">
        <v>6050</v>
      </c>
      <c r="J782" s="9">
        <v>0</v>
      </c>
      <c r="K782" s="9">
        <v>0</v>
      </c>
      <c r="L782" s="9" t="s">
        <v>31</v>
      </c>
      <c r="M782" s="15">
        <f t="shared" si="18"/>
        <v>605000</v>
      </c>
      <c r="N782" s="19">
        <v>0</v>
      </c>
    </row>
    <row r="783" spans="1:14" x14ac:dyDescent="0.45">
      <c r="A783" s="4">
        <v>46029</v>
      </c>
      <c r="B783" s="4">
        <v>46031</v>
      </c>
      <c r="C783" s="5">
        <v>6330</v>
      </c>
      <c r="D783" s="9" t="s">
        <v>421</v>
      </c>
      <c r="E783" s="5" t="s">
        <v>67</v>
      </c>
      <c r="F783" s="5" t="s">
        <v>29</v>
      </c>
      <c r="G783" s="5" t="s">
        <v>41</v>
      </c>
      <c r="H783" s="5">
        <v>100</v>
      </c>
      <c r="I783" s="7">
        <v>4055</v>
      </c>
      <c r="J783" s="9">
        <v>0</v>
      </c>
      <c r="K783" s="9">
        <v>0</v>
      </c>
      <c r="L783" s="9" t="s">
        <v>90</v>
      </c>
      <c r="M783" s="15">
        <f t="shared" si="18"/>
        <v>405500</v>
      </c>
      <c r="N783" s="19">
        <v>71500</v>
      </c>
    </row>
    <row r="784" spans="1:14" x14ac:dyDescent="0.45">
      <c r="A784" s="4">
        <v>46035</v>
      </c>
      <c r="B784" s="4">
        <v>46037</v>
      </c>
      <c r="C784" s="5">
        <v>8267</v>
      </c>
      <c r="D784" s="9" t="s">
        <v>408</v>
      </c>
      <c r="E784" s="5" t="s">
        <v>67</v>
      </c>
      <c r="F784" s="5" t="s">
        <v>29</v>
      </c>
      <c r="G784" s="5" t="s">
        <v>41</v>
      </c>
      <c r="H784" s="5">
        <v>200</v>
      </c>
      <c r="I784" s="7">
        <v>2215</v>
      </c>
      <c r="J784" s="9">
        <v>0</v>
      </c>
      <c r="K784" s="9">
        <v>0</v>
      </c>
      <c r="L784" s="9" t="s">
        <v>90</v>
      </c>
      <c r="M784" s="15">
        <f t="shared" si="18"/>
        <v>443000</v>
      </c>
      <c r="N784" s="19">
        <f>-24800*2</f>
        <v>-49600</v>
      </c>
    </row>
    <row r="785" spans="1:14" x14ac:dyDescent="0.45">
      <c r="A785" s="4">
        <v>46035</v>
      </c>
      <c r="B785" s="4">
        <v>46037</v>
      </c>
      <c r="C785" s="5">
        <v>8316</v>
      </c>
      <c r="D785" s="9" t="s">
        <v>401</v>
      </c>
      <c r="E785" s="5" t="s">
        <v>67</v>
      </c>
      <c r="F785" s="5" t="s">
        <v>29</v>
      </c>
      <c r="G785" s="5" t="s">
        <v>30</v>
      </c>
      <c r="H785" s="5">
        <v>100</v>
      </c>
      <c r="I785" s="7">
        <v>5399</v>
      </c>
      <c r="J785" s="9">
        <v>0</v>
      </c>
      <c r="K785" s="9">
        <v>0</v>
      </c>
      <c r="L785" s="9" t="s">
        <v>31</v>
      </c>
      <c r="M785" s="15">
        <f t="shared" si="18"/>
        <v>539900</v>
      </c>
      <c r="N785" s="19">
        <v>0</v>
      </c>
    </row>
    <row r="786" spans="1:14" x14ac:dyDescent="0.45">
      <c r="A786" s="4">
        <v>46036</v>
      </c>
      <c r="B786" s="4">
        <v>46038</v>
      </c>
      <c r="C786" s="5">
        <v>1488</v>
      </c>
      <c r="D786" s="9" t="s">
        <v>419</v>
      </c>
      <c r="E786" s="5" t="s">
        <v>67</v>
      </c>
      <c r="F786" s="5" t="s">
        <v>29</v>
      </c>
      <c r="G786" s="5" t="s">
        <v>30</v>
      </c>
      <c r="H786" s="5">
        <v>10</v>
      </c>
      <c r="I786" s="7">
        <v>2119</v>
      </c>
      <c r="J786" s="9">
        <v>0</v>
      </c>
      <c r="K786" s="9">
        <v>0</v>
      </c>
      <c r="L786" s="9" t="s">
        <v>31</v>
      </c>
      <c r="M786" s="15">
        <f t="shared" si="18"/>
        <v>21190</v>
      </c>
      <c r="N786" s="19">
        <v>0</v>
      </c>
    </row>
    <row r="787" spans="1:14" x14ac:dyDescent="0.45">
      <c r="A787" s="4">
        <v>46036</v>
      </c>
      <c r="B787" s="4">
        <v>46038</v>
      </c>
      <c r="C787" s="5" t="s">
        <v>424</v>
      </c>
      <c r="D787" s="9" t="s">
        <v>425</v>
      </c>
      <c r="E787" s="5" t="s">
        <v>67</v>
      </c>
      <c r="F787" s="5" t="s">
        <v>29</v>
      </c>
      <c r="G787" s="5" t="s">
        <v>41</v>
      </c>
      <c r="H787" s="5">
        <v>500</v>
      </c>
      <c r="I787" s="12">
        <v>798</v>
      </c>
      <c r="J787" s="9">
        <v>0</v>
      </c>
      <c r="K787" s="9">
        <v>0</v>
      </c>
      <c r="L787" s="9" t="s">
        <v>90</v>
      </c>
      <c r="M787" s="15">
        <f t="shared" si="18"/>
        <v>399000</v>
      </c>
      <c r="N787" s="19">
        <v>34500</v>
      </c>
    </row>
    <row r="788" spans="1:14" x14ac:dyDescent="0.45">
      <c r="A788" s="4">
        <v>46036</v>
      </c>
      <c r="B788" s="4">
        <v>46038</v>
      </c>
      <c r="C788" s="5">
        <v>6269</v>
      </c>
      <c r="D788" s="9" t="s">
        <v>429</v>
      </c>
      <c r="E788" s="5" t="s">
        <v>67</v>
      </c>
      <c r="F788" s="5" t="s">
        <v>29</v>
      </c>
      <c r="G788" s="5" t="s">
        <v>30</v>
      </c>
      <c r="H788" s="5">
        <v>100</v>
      </c>
      <c r="I788" s="7">
        <v>15330</v>
      </c>
      <c r="J788" s="9">
        <v>0</v>
      </c>
      <c r="K788" s="9">
        <v>0</v>
      </c>
      <c r="L788" s="9" t="s">
        <v>31</v>
      </c>
      <c r="M788" s="15">
        <f t="shared" si="18"/>
        <v>1533000</v>
      </c>
      <c r="N788" s="19">
        <v>0</v>
      </c>
    </row>
    <row r="789" spans="1:14" x14ac:dyDescent="0.45">
      <c r="A789" s="4">
        <v>46036</v>
      </c>
      <c r="B789" s="4">
        <v>46038</v>
      </c>
      <c r="C789" s="5">
        <v>6758</v>
      </c>
      <c r="D789" s="9" t="s">
        <v>420</v>
      </c>
      <c r="E789" s="5" t="s">
        <v>67</v>
      </c>
      <c r="F789" s="5" t="s">
        <v>29</v>
      </c>
      <c r="G789" s="5" t="s">
        <v>41</v>
      </c>
      <c r="H789" s="5">
        <v>200</v>
      </c>
      <c r="I789" s="7">
        <v>3835.6</v>
      </c>
      <c r="J789" s="9">
        <v>0</v>
      </c>
      <c r="K789" s="9">
        <v>0</v>
      </c>
      <c r="L789" s="9" t="s">
        <v>90</v>
      </c>
      <c r="M789" s="15">
        <f t="shared" si="18"/>
        <v>767120</v>
      </c>
      <c r="N789" s="19">
        <f>-23840*2</f>
        <v>-47680</v>
      </c>
    </row>
    <row r="790" spans="1:14" x14ac:dyDescent="0.45">
      <c r="A790" s="4">
        <v>46037</v>
      </c>
      <c r="B790" s="4">
        <v>46041</v>
      </c>
      <c r="C790" s="5">
        <v>2768</v>
      </c>
      <c r="D790" s="9" t="s">
        <v>430</v>
      </c>
      <c r="E790" s="5" t="s">
        <v>67</v>
      </c>
      <c r="F790" s="5" t="s">
        <v>29</v>
      </c>
      <c r="G790" s="5" t="s">
        <v>30</v>
      </c>
      <c r="H790" s="5">
        <v>100</v>
      </c>
      <c r="I790" s="7">
        <v>5987</v>
      </c>
      <c r="J790" s="9">
        <v>0</v>
      </c>
      <c r="K790" s="9">
        <v>0</v>
      </c>
      <c r="L790" s="9" t="s">
        <v>31</v>
      </c>
      <c r="M790" s="15">
        <f t="shared" si="18"/>
        <v>598700</v>
      </c>
      <c r="N790" s="19">
        <v>0</v>
      </c>
    </row>
    <row r="791" spans="1:14" x14ac:dyDescent="0.45">
      <c r="A791" s="4">
        <v>46037</v>
      </c>
      <c r="B791" s="4">
        <v>46041</v>
      </c>
      <c r="C791" s="5">
        <v>6954</v>
      </c>
      <c r="D791" s="9" t="s">
        <v>431</v>
      </c>
      <c r="E791" s="5" t="s">
        <v>67</v>
      </c>
      <c r="F791" s="5" t="s">
        <v>29</v>
      </c>
      <c r="G791" s="5" t="s">
        <v>30</v>
      </c>
      <c r="H791" s="5">
        <v>100</v>
      </c>
      <c r="I791" s="7">
        <v>6770</v>
      </c>
      <c r="J791" s="9">
        <v>0</v>
      </c>
      <c r="K791" s="9">
        <v>0</v>
      </c>
      <c r="L791" s="9" t="s">
        <v>31</v>
      </c>
      <c r="M791" s="15">
        <f t="shared" si="18"/>
        <v>677000</v>
      </c>
      <c r="N791" s="19">
        <v>0</v>
      </c>
    </row>
    <row r="792" spans="1:14" x14ac:dyDescent="0.45">
      <c r="A792" s="4">
        <v>46038</v>
      </c>
      <c r="B792" s="4">
        <v>46042</v>
      </c>
      <c r="C792" s="5">
        <v>5602</v>
      </c>
      <c r="D792" s="9" t="s">
        <v>364</v>
      </c>
      <c r="E792" s="5" t="s">
        <v>67</v>
      </c>
      <c r="F792" s="5" t="s">
        <v>29</v>
      </c>
      <c r="G792" s="5" t="s">
        <v>41</v>
      </c>
      <c r="H792" s="5">
        <v>100</v>
      </c>
      <c r="I792" s="7">
        <v>1982</v>
      </c>
      <c r="J792" s="9">
        <v>0</v>
      </c>
      <c r="K792" s="9">
        <v>0</v>
      </c>
      <c r="L792" s="9" t="s">
        <v>90</v>
      </c>
      <c r="M792" s="15">
        <f t="shared" si="18"/>
        <v>198200</v>
      </c>
      <c r="N792" s="19">
        <v>24300</v>
      </c>
    </row>
    <row r="793" spans="1:14" x14ac:dyDescent="0.45">
      <c r="A793" s="4">
        <v>46038</v>
      </c>
      <c r="B793" s="4">
        <v>46042</v>
      </c>
      <c r="C793" s="5">
        <v>5602</v>
      </c>
      <c r="D793" s="9" t="s">
        <v>364</v>
      </c>
      <c r="E793" s="5" t="s">
        <v>67</v>
      </c>
      <c r="F793" s="5" t="s">
        <v>29</v>
      </c>
      <c r="G793" s="5" t="s">
        <v>41</v>
      </c>
      <c r="H793" s="5">
        <v>500</v>
      </c>
      <c r="I793" s="7">
        <v>1982</v>
      </c>
      <c r="J793" s="9">
        <v>0</v>
      </c>
      <c r="K793" s="9">
        <v>0</v>
      </c>
      <c r="L793" s="9" t="s">
        <v>90</v>
      </c>
      <c r="M793" s="15">
        <f t="shared" si="18"/>
        <v>991000</v>
      </c>
      <c r="N793" s="19">
        <f>24300+97200</f>
        <v>121500</v>
      </c>
    </row>
    <row r="794" spans="1:14" x14ac:dyDescent="0.45">
      <c r="A794" s="4">
        <v>46041</v>
      </c>
      <c r="B794" s="4">
        <v>46043</v>
      </c>
      <c r="C794" s="5">
        <v>3692</v>
      </c>
      <c r="D794" s="9" t="s">
        <v>397</v>
      </c>
      <c r="E794" s="5" t="s">
        <v>67</v>
      </c>
      <c r="F794" s="5" t="s">
        <v>29</v>
      </c>
      <c r="G794" s="5" t="s">
        <v>30</v>
      </c>
      <c r="H794" s="5">
        <v>100</v>
      </c>
      <c r="I794" s="9">
        <v>9950</v>
      </c>
      <c r="J794" s="9">
        <v>0</v>
      </c>
      <c r="K794" s="9">
        <v>0</v>
      </c>
      <c r="L794" s="9" t="s">
        <v>31</v>
      </c>
      <c r="M794" s="15">
        <f t="shared" si="18"/>
        <v>995000</v>
      </c>
      <c r="N794" s="19">
        <v>0</v>
      </c>
    </row>
    <row r="795" spans="1:14" x14ac:dyDescent="0.45">
      <c r="A795" s="4">
        <v>46041</v>
      </c>
      <c r="B795" s="4">
        <v>46043</v>
      </c>
      <c r="C795" s="5">
        <v>3741</v>
      </c>
      <c r="D795" s="9" t="s">
        <v>395</v>
      </c>
      <c r="E795" s="5" t="s">
        <v>67</v>
      </c>
      <c r="F795" s="5" t="s">
        <v>29</v>
      </c>
      <c r="G795" s="5" t="s">
        <v>30</v>
      </c>
      <c r="H795" s="5">
        <v>100</v>
      </c>
      <c r="I795" s="9">
        <v>3669.5</v>
      </c>
      <c r="J795" s="9">
        <v>0</v>
      </c>
      <c r="K795" s="9">
        <v>0</v>
      </c>
      <c r="L795" s="9" t="s">
        <v>31</v>
      </c>
      <c r="M795" s="15">
        <f t="shared" si="18"/>
        <v>366950</v>
      </c>
      <c r="N795" s="19">
        <v>0</v>
      </c>
    </row>
    <row r="796" spans="1:14" x14ac:dyDescent="0.45">
      <c r="A796" s="4">
        <v>46041</v>
      </c>
      <c r="B796" s="4">
        <v>46043</v>
      </c>
      <c r="C796" s="5">
        <v>8001</v>
      </c>
      <c r="D796" s="9" t="s">
        <v>422</v>
      </c>
      <c r="E796" s="5" t="s">
        <v>67</v>
      </c>
      <c r="F796" s="5" t="s">
        <v>29</v>
      </c>
      <c r="G796" s="5" t="s">
        <v>30</v>
      </c>
      <c r="H796" s="5">
        <v>100</v>
      </c>
      <c r="I796" s="9">
        <v>2098.5</v>
      </c>
      <c r="J796" s="9">
        <v>0</v>
      </c>
      <c r="K796" s="9">
        <v>0</v>
      </c>
      <c r="L796" s="9" t="s">
        <v>31</v>
      </c>
      <c r="M796" s="15">
        <f t="shared" si="18"/>
        <v>209850</v>
      </c>
      <c r="N796" s="19">
        <v>0</v>
      </c>
    </row>
    <row r="797" spans="1:14" x14ac:dyDescent="0.45">
      <c r="A797" s="4">
        <v>46041</v>
      </c>
      <c r="B797" s="4">
        <v>46043</v>
      </c>
      <c r="C797" s="5">
        <v>8031</v>
      </c>
      <c r="D797" s="9" t="s">
        <v>407</v>
      </c>
      <c r="E797" s="5" t="s">
        <v>67</v>
      </c>
      <c r="F797" s="5" t="s">
        <v>29</v>
      </c>
      <c r="G797" s="5" t="s">
        <v>30</v>
      </c>
      <c r="H797" s="5">
        <v>100</v>
      </c>
      <c r="I797" s="9">
        <v>5094</v>
      </c>
      <c r="J797" s="9">
        <v>0</v>
      </c>
      <c r="K797" s="9">
        <v>0</v>
      </c>
      <c r="L797" s="9" t="s">
        <v>31</v>
      </c>
      <c r="M797" s="15">
        <f t="shared" si="18"/>
        <v>509400</v>
      </c>
      <c r="N797" s="19">
        <v>0</v>
      </c>
    </row>
    <row r="798" spans="1:14" x14ac:dyDescent="0.45">
      <c r="A798" s="4">
        <v>46042</v>
      </c>
      <c r="B798" s="4">
        <v>46044</v>
      </c>
      <c r="C798" s="5">
        <v>6269</v>
      </c>
      <c r="D798" s="9" t="s">
        <v>429</v>
      </c>
      <c r="E798" s="5" t="s">
        <v>67</v>
      </c>
      <c r="F798" s="5" t="s">
        <v>29</v>
      </c>
      <c r="G798" s="5" t="s">
        <v>41</v>
      </c>
      <c r="H798" s="5">
        <v>100</v>
      </c>
      <c r="I798" s="9">
        <v>13830</v>
      </c>
      <c r="J798" s="9">
        <v>0</v>
      </c>
      <c r="K798" s="9">
        <v>0</v>
      </c>
      <c r="L798" s="9" t="s">
        <v>90</v>
      </c>
      <c r="M798" s="15">
        <f t="shared" si="18"/>
        <v>1383000</v>
      </c>
      <c r="N798" s="19">
        <v>-150000</v>
      </c>
    </row>
    <row r="799" spans="1:14" x14ac:dyDescent="0.45">
      <c r="A799" s="4">
        <v>46045</v>
      </c>
      <c r="B799" s="4">
        <v>46049</v>
      </c>
      <c r="C799" s="5">
        <v>1605</v>
      </c>
      <c r="D799" s="9" t="s">
        <v>423</v>
      </c>
      <c r="E799" s="5" t="s">
        <v>67</v>
      </c>
      <c r="F799" s="5" t="s">
        <v>29</v>
      </c>
      <c r="G799" s="5" t="s">
        <v>41</v>
      </c>
      <c r="H799" s="5">
        <v>100</v>
      </c>
      <c r="I799" s="9">
        <v>3229</v>
      </c>
      <c r="J799" s="9">
        <v>0</v>
      </c>
      <c r="K799" s="9">
        <v>0</v>
      </c>
      <c r="L799" s="9" t="s">
        <v>90</v>
      </c>
      <c r="M799" s="15">
        <f t="shared" si="18"/>
        <v>322900</v>
      </c>
      <c r="N799" s="19">
        <v>4900</v>
      </c>
    </row>
    <row r="800" spans="1:14" x14ac:dyDescent="0.45">
      <c r="A800" s="4">
        <v>46048</v>
      </c>
      <c r="B800" s="4">
        <v>46050</v>
      </c>
      <c r="C800" s="5">
        <v>2556</v>
      </c>
      <c r="D800" s="9" t="s">
        <v>435</v>
      </c>
      <c r="E800" s="5" t="s">
        <v>67</v>
      </c>
      <c r="F800" s="5" t="s">
        <v>29</v>
      </c>
      <c r="G800" s="5" t="s">
        <v>30</v>
      </c>
      <c r="H800" s="5">
        <v>50</v>
      </c>
      <c r="I800" s="7">
        <v>2036.5</v>
      </c>
      <c r="J800" s="9">
        <v>0</v>
      </c>
      <c r="K800" s="9">
        <v>0</v>
      </c>
      <c r="L800" s="9" t="s">
        <v>31</v>
      </c>
      <c r="M800" s="15">
        <f t="shared" si="18"/>
        <v>101825</v>
      </c>
      <c r="N800" s="19">
        <v>0</v>
      </c>
    </row>
    <row r="801" spans="1:14" x14ac:dyDescent="0.45">
      <c r="A801" s="4">
        <v>46048</v>
      </c>
      <c r="B801" s="4">
        <v>46050</v>
      </c>
      <c r="C801" s="5">
        <v>6269</v>
      </c>
      <c r="D801" s="9" t="s">
        <v>429</v>
      </c>
      <c r="E801" s="5" t="s">
        <v>67</v>
      </c>
      <c r="F801" s="5" t="s">
        <v>29</v>
      </c>
      <c r="G801" s="5" t="s">
        <v>30</v>
      </c>
      <c r="H801" s="5">
        <v>100</v>
      </c>
      <c r="I801" s="7">
        <v>14100</v>
      </c>
      <c r="J801" s="9">
        <v>0</v>
      </c>
      <c r="K801" s="9">
        <v>0</v>
      </c>
      <c r="L801" s="9" t="s">
        <v>31</v>
      </c>
      <c r="M801" s="15">
        <f t="shared" si="18"/>
        <v>1410000</v>
      </c>
      <c r="N801" s="19">
        <v>0</v>
      </c>
    </row>
    <row r="802" spans="1:14" x14ac:dyDescent="0.45">
      <c r="A802" s="4">
        <v>46048</v>
      </c>
      <c r="B802" s="4">
        <v>46050</v>
      </c>
      <c r="C802" s="5">
        <v>9531</v>
      </c>
      <c r="D802" s="9" t="s">
        <v>436</v>
      </c>
      <c r="E802" s="5" t="s">
        <v>67</v>
      </c>
      <c r="F802" s="5" t="s">
        <v>29</v>
      </c>
      <c r="G802" s="5" t="s">
        <v>30</v>
      </c>
      <c r="H802" s="5">
        <v>100</v>
      </c>
      <c r="I802" s="7">
        <v>6713</v>
      </c>
      <c r="J802" s="9">
        <v>0</v>
      </c>
      <c r="K802" s="9">
        <v>0</v>
      </c>
      <c r="L802" s="9" t="s">
        <v>31</v>
      </c>
      <c r="M802" s="15">
        <f t="shared" si="18"/>
        <v>671300</v>
      </c>
      <c r="N802" s="19">
        <v>0</v>
      </c>
    </row>
    <row r="803" spans="1:14" x14ac:dyDescent="0.45">
      <c r="A803" s="4">
        <v>46049</v>
      </c>
      <c r="B803" s="4">
        <v>46051</v>
      </c>
      <c r="C803" s="5">
        <v>6330</v>
      </c>
      <c r="D803" s="9" t="s">
        <v>421</v>
      </c>
      <c r="E803" s="5" t="s">
        <v>67</v>
      </c>
      <c r="F803" s="5" t="s">
        <v>29</v>
      </c>
      <c r="G803" s="5" t="s">
        <v>30</v>
      </c>
      <c r="H803" s="5">
        <v>100</v>
      </c>
      <c r="I803" s="7">
        <v>5880</v>
      </c>
      <c r="J803" s="9">
        <v>0</v>
      </c>
      <c r="K803" s="9">
        <v>0</v>
      </c>
      <c r="L803" s="9" t="s">
        <v>31</v>
      </c>
      <c r="M803" s="15">
        <f t="shared" si="18"/>
        <v>588000</v>
      </c>
      <c r="N803" s="19">
        <v>0</v>
      </c>
    </row>
    <row r="804" spans="1:14" x14ac:dyDescent="0.45">
      <c r="A804" s="4">
        <v>46051</v>
      </c>
      <c r="B804" s="4">
        <v>46055</v>
      </c>
      <c r="C804" s="5" t="s">
        <v>424</v>
      </c>
      <c r="D804" s="9" t="s">
        <v>425</v>
      </c>
      <c r="E804" s="5" t="s">
        <v>67</v>
      </c>
      <c r="F804" s="5" t="s">
        <v>29</v>
      </c>
      <c r="G804" s="5" t="s">
        <v>30</v>
      </c>
      <c r="H804" s="5">
        <v>200</v>
      </c>
      <c r="I804" s="7">
        <v>1076.7</v>
      </c>
      <c r="J804" s="9">
        <v>0</v>
      </c>
      <c r="K804" s="9">
        <v>0</v>
      </c>
      <c r="L804" s="9" t="s">
        <v>31</v>
      </c>
      <c r="M804" s="15">
        <f t="shared" si="18"/>
        <v>215340</v>
      </c>
      <c r="N804" s="19">
        <v>0</v>
      </c>
    </row>
    <row r="805" spans="1:14" x14ac:dyDescent="0.45">
      <c r="A805" s="4">
        <v>46051</v>
      </c>
      <c r="B805" s="4">
        <v>46055</v>
      </c>
      <c r="C805" s="5" t="s">
        <v>424</v>
      </c>
      <c r="D805" s="9" t="s">
        <v>425</v>
      </c>
      <c r="E805" s="5" t="s">
        <v>67</v>
      </c>
      <c r="F805" s="5" t="s">
        <v>29</v>
      </c>
      <c r="G805" s="5" t="s">
        <v>30</v>
      </c>
      <c r="H805" s="5">
        <v>100</v>
      </c>
      <c r="I805" s="7">
        <v>1076.5999999999999</v>
      </c>
      <c r="J805" s="9">
        <v>0</v>
      </c>
      <c r="K805" s="9">
        <v>0</v>
      </c>
      <c r="L805" s="9" t="s">
        <v>31</v>
      </c>
      <c r="M805" s="15">
        <f t="shared" si="18"/>
        <v>107659.99999999999</v>
      </c>
      <c r="N805" s="19">
        <v>0</v>
      </c>
    </row>
    <row r="806" spans="1:14" x14ac:dyDescent="0.45">
      <c r="A806" s="4">
        <v>46052</v>
      </c>
      <c r="B806" s="4">
        <v>46056</v>
      </c>
      <c r="C806" s="5">
        <v>1540</v>
      </c>
      <c r="D806" s="9" t="s">
        <v>393</v>
      </c>
      <c r="E806" s="5" t="s">
        <v>67</v>
      </c>
      <c r="F806" s="5" t="s">
        <v>29</v>
      </c>
      <c r="G806" s="5" t="s">
        <v>41</v>
      </c>
      <c r="H806" s="5">
        <v>25</v>
      </c>
      <c r="I806" s="7">
        <v>24380</v>
      </c>
      <c r="J806" s="9">
        <v>0</v>
      </c>
      <c r="K806" s="9">
        <v>0</v>
      </c>
      <c r="L806" s="9" t="s">
        <v>90</v>
      </c>
      <c r="M806" s="15">
        <f t="shared" si="18"/>
        <v>609500</v>
      </c>
      <c r="N806" s="19">
        <v>110750</v>
      </c>
    </row>
    <row r="807" spans="1:14" x14ac:dyDescent="0.45">
      <c r="A807" s="4">
        <v>46055</v>
      </c>
      <c r="B807" s="4">
        <v>46057</v>
      </c>
      <c r="C807" s="5">
        <v>6269</v>
      </c>
      <c r="D807" s="9" t="s">
        <v>429</v>
      </c>
      <c r="E807" s="5" t="s">
        <v>67</v>
      </c>
      <c r="F807" s="5" t="s">
        <v>29</v>
      </c>
      <c r="G807" s="5" t="s">
        <v>41</v>
      </c>
      <c r="H807" s="5">
        <v>100</v>
      </c>
      <c r="I807" s="7">
        <v>15690</v>
      </c>
      <c r="J807" s="9">
        <v>0</v>
      </c>
      <c r="K807" s="9">
        <v>0</v>
      </c>
      <c r="L807" s="9" t="s">
        <v>90</v>
      </c>
      <c r="M807" s="15">
        <f t="shared" si="18"/>
        <v>1569000</v>
      </c>
      <c r="N807" s="19">
        <v>159000</v>
      </c>
    </row>
    <row r="808" spans="1:14" x14ac:dyDescent="0.45">
      <c r="A808" s="4">
        <v>46055</v>
      </c>
      <c r="B808" s="4">
        <v>46057</v>
      </c>
      <c r="C808" s="5">
        <v>9684</v>
      </c>
      <c r="D808" s="9" t="s">
        <v>412</v>
      </c>
      <c r="E808" s="5" t="s">
        <v>67</v>
      </c>
      <c r="F808" s="5" t="s">
        <v>29</v>
      </c>
      <c r="G808" s="5" t="s">
        <v>41</v>
      </c>
      <c r="H808" s="5">
        <v>100</v>
      </c>
      <c r="I808" s="7">
        <v>2573.5</v>
      </c>
      <c r="J808" s="9">
        <v>0</v>
      </c>
      <c r="K808" s="9">
        <v>0</v>
      </c>
      <c r="L808" s="9" t="s">
        <v>90</v>
      </c>
      <c r="M808" s="15">
        <f t="shared" si="18"/>
        <v>257350</v>
      </c>
      <c r="N808" s="19">
        <v>-32450</v>
      </c>
    </row>
    <row r="809" spans="1:14" x14ac:dyDescent="0.45">
      <c r="A809" s="4">
        <v>46056</v>
      </c>
      <c r="B809" s="4">
        <v>46058</v>
      </c>
      <c r="C809" s="5" t="s">
        <v>424</v>
      </c>
      <c r="D809" s="9" t="s">
        <v>425</v>
      </c>
      <c r="E809" s="5" t="s">
        <v>67</v>
      </c>
      <c r="F809" s="5" t="s">
        <v>29</v>
      </c>
      <c r="G809" s="5" t="s">
        <v>41</v>
      </c>
      <c r="H809" s="5">
        <v>300</v>
      </c>
      <c r="I809" s="7">
        <v>1077</v>
      </c>
      <c r="J809" s="9">
        <v>0</v>
      </c>
      <c r="K809" s="9">
        <v>0</v>
      </c>
      <c r="L809" s="9" t="s">
        <v>90</v>
      </c>
      <c r="M809" s="15">
        <f t="shared" si="18"/>
        <v>323100</v>
      </c>
      <c r="N809" s="19">
        <v>0</v>
      </c>
    </row>
    <row r="810" spans="1:14" x14ac:dyDescent="0.45">
      <c r="A810" s="4">
        <v>46057</v>
      </c>
      <c r="B810" s="4">
        <v>46059</v>
      </c>
      <c r="C810" s="5">
        <v>5802</v>
      </c>
      <c r="D810" s="9" t="s">
        <v>403</v>
      </c>
      <c r="E810" s="5" t="s">
        <v>67</v>
      </c>
      <c r="F810" s="5" t="s">
        <v>29</v>
      </c>
      <c r="G810" s="5" t="s">
        <v>41</v>
      </c>
      <c r="H810" s="5">
        <v>100</v>
      </c>
      <c r="I810" s="7">
        <v>7863</v>
      </c>
      <c r="J810" s="9">
        <v>0</v>
      </c>
      <c r="K810" s="9">
        <v>0</v>
      </c>
      <c r="L810" s="9" t="s">
        <v>90</v>
      </c>
      <c r="M810" s="15">
        <f t="shared" si="18"/>
        <v>786300</v>
      </c>
      <c r="N810" s="19">
        <v>68420</v>
      </c>
    </row>
    <row r="811" spans="1:14" x14ac:dyDescent="0.45">
      <c r="A811" s="4">
        <v>46057</v>
      </c>
      <c r="B811" s="4">
        <v>46059</v>
      </c>
      <c r="C811" s="5">
        <v>9531</v>
      </c>
      <c r="D811" s="9" t="s">
        <v>436</v>
      </c>
      <c r="E811" s="5" t="s">
        <v>67</v>
      </c>
      <c r="F811" s="5" t="s">
        <v>29</v>
      </c>
      <c r="G811" s="5" t="s">
        <v>41</v>
      </c>
      <c r="H811" s="5">
        <v>100</v>
      </c>
      <c r="I811" s="7">
        <v>7197</v>
      </c>
      <c r="J811" s="9">
        <v>0</v>
      </c>
      <c r="K811" s="9">
        <v>0</v>
      </c>
      <c r="L811" s="9" t="s">
        <v>90</v>
      </c>
      <c r="M811" s="15">
        <f t="shared" si="18"/>
        <v>719700</v>
      </c>
      <c r="N811" s="19">
        <v>48400</v>
      </c>
    </row>
    <row r="812" spans="1:14" x14ac:dyDescent="0.45">
      <c r="A812" s="4">
        <v>46057</v>
      </c>
      <c r="B812" s="4">
        <v>46059</v>
      </c>
      <c r="C812" s="5">
        <v>6330</v>
      </c>
      <c r="D812" s="9" t="s">
        <v>421</v>
      </c>
      <c r="E812" s="5" t="s">
        <v>67</v>
      </c>
      <c r="F812" s="5" t="s">
        <v>29</v>
      </c>
      <c r="G812" s="5" t="s">
        <v>41</v>
      </c>
      <c r="H812" s="5">
        <v>100</v>
      </c>
      <c r="I812" s="7">
        <v>5880</v>
      </c>
      <c r="J812" s="9">
        <v>0</v>
      </c>
      <c r="K812" s="9">
        <v>0</v>
      </c>
      <c r="L812" s="9" t="s">
        <v>90</v>
      </c>
      <c r="M812" s="15">
        <f t="shared" si="18"/>
        <v>588000</v>
      </c>
      <c r="N812" s="19">
        <v>0</v>
      </c>
    </row>
    <row r="813" spans="1:14" x14ac:dyDescent="0.45">
      <c r="A813" s="4">
        <v>46058</v>
      </c>
      <c r="B813" s="4">
        <v>46062</v>
      </c>
      <c r="C813" s="5">
        <v>8001</v>
      </c>
      <c r="D813" s="9" t="s">
        <v>422</v>
      </c>
      <c r="E813" s="5" t="s">
        <v>67</v>
      </c>
      <c r="F813" s="5" t="s">
        <v>29</v>
      </c>
      <c r="G813" s="5" t="s">
        <v>41</v>
      </c>
      <c r="H813" s="5">
        <v>200</v>
      </c>
      <c r="I813" s="7">
        <v>2060.6</v>
      </c>
      <c r="J813" s="9">
        <v>0</v>
      </c>
      <c r="K813" s="9">
        <v>0</v>
      </c>
      <c r="L813" s="9" t="s">
        <v>90</v>
      </c>
      <c r="M813" s="15">
        <f t="shared" si="18"/>
        <v>412120</v>
      </c>
      <c r="N813" s="19">
        <f>860*2</f>
        <v>1720</v>
      </c>
    </row>
    <row r="814" spans="1:14" x14ac:dyDescent="0.45">
      <c r="A814" s="4">
        <v>46058</v>
      </c>
      <c r="B814" s="4">
        <v>46062</v>
      </c>
      <c r="C814" s="5">
        <v>8316</v>
      </c>
      <c r="D814" s="9" t="s">
        <v>401</v>
      </c>
      <c r="E814" s="5" t="s">
        <v>67</v>
      </c>
      <c r="F814" s="5" t="s">
        <v>29</v>
      </c>
      <c r="G814" s="5" t="s">
        <v>41</v>
      </c>
      <c r="H814" s="5">
        <v>100</v>
      </c>
      <c r="I814" s="7">
        <v>5650</v>
      </c>
      <c r="J814" s="9">
        <v>0</v>
      </c>
      <c r="K814" s="9">
        <v>0</v>
      </c>
      <c r="L814" s="9" t="s">
        <v>90</v>
      </c>
      <c r="M814" s="15">
        <f t="shared" si="18"/>
        <v>565000</v>
      </c>
      <c r="N814" s="19">
        <v>25100</v>
      </c>
    </row>
    <row r="815" spans="1:14" x14ac:dyDescent="0.45">
      <c r="A815" s="4">
        <v>46062</v>
      </c>
      <c r="B815" s="4">
        <v>46065</v>
      </c>
      <c r="C815" s="5">
        <v>2768</v>
      </c>
      <c r="D815" s="9" t="s">
        <v>430</v>
      </c>
      <c r="E815" s="5" t="s">
        <v>67</v>
      </c>
      <c r="F815" s="5" t="s">
        <v>29</v>
      </c>
      <c r="G815" s="5" t="s">
        <v>41</v>
      </c>
      <c r="H815" s="5">
        <v>100</v>
      </c>
      <c r="I815" s="9">
        <v>6033.2</v>
      </c>
      <c r="J815" s="9">
        <v>0</v>
      </c>
      <c r="K815" s="9">
        <v>0</v>
      </c>
      <c r="L815" s="9" t="s">
        <v>90</v>
      </c>
      <c r="M815" s="15">
        <f t="shared" si="18"/>
        <v>603320</v>
      </c>
      <c r="N815" s="19">
        <v>4620</v>
      </c>
    </row>
    <row r="816" spans="1:14" x14ac:dyDescent="0.45">
      <c r="A816" s="4">
        <v>46062</v>
      </c>
      <c r="B816" s="4">
        <v>46065</v>
      </c>
      <c r="C816" s="5">
        <v>3741</v>
      </c>
      <c r="D816" s="9" t="s">
        <v>395</v>
      </c>
      <c r="E816" s="5" t="s">
        <v>67</v>
      </c>
      <c r="F816" s="5" t="s">
        <v>29</v>
      </c>
      <c r="G816" s="5" t="s">
        <v>41</v>
      </c>
      <c r="H816" s="5">
        <v>100</v>
      </c>
      <c r="I816" s="9">
        <v>3720.5</v>
      </c>
      <c r="J816" s="9">
        <v>0</v>
      </c>
      <c r="K816" s="9">
        <v>0</v>
      </c>
      <c r="L816" s="9" t="s">
        <v>90</v>
      </c>
      <c r="M816" s="15">
        <f t="shared" ref="M816:M870" si="19">IF(G816="買付",H816*I816+SUM(J816:K816),H816*I816-SUM(J816:K816))</f>
        <v>372050</v>
      </c>
      <c r="N816" s="19">
        <v>5050</v>
      </c>
    </row>
    <row r="817" spans="1:14" x14ac:dyDescent="0.45">
      <c r="A817" s="4">
        <v>46062</v>
      </c>
      <c r="B817" s="4">
        <v>46065</v>
      </c>
      <c r="C817" s="5">
        <v>6954</v>
      </c>
      <c r="D817" s="9" t="s">
        <v>431</v>
      </c>
      <c r="E817" s="5" t="s">
        <v>67</v>
      </c>
      <c r="F817" s="5" t="s">
        <v>29</v>
      </c>
      <c r="G817" s="5" t="s">
        <v>41</v>
      </c>
      <c r="H817" s="5">
        <v>100</v>
      </c>
      <c r="I817" s="9">
        <v>6772</v>
      </c>
      <c r="J817" s="9">
        <v>0</v>
      </c>
      <c r="K817" s="9">
        <v>0</v>
      </c>
      <c r="L817" s="9" t="s">
        <v>90</v>
      </c>
      <c r="M817" s="15">
        <f t="shared" si="19"/>
        <v>677200</v>
      </c>
      <c r="N817" s="19">
        <v>200</v>
      </c>
    </row>
    <row r="818" spans="1:14" x14ac:dyDescent="0.45">
      <c r="A818" s="4">
        <v>46062</v>
      </c>
      <c r="B818" s="4">
        <v>46065</v>
      </c>
      <c r="C818" s="5">
        <v>8766</v>
      </c>
      <c r="D818" s="9" t="s">
        <v>44</v>
      </c>
      <c r="E818" s="5" t="s">
        <v>67</v>
      </c>
      <c r="F818" s="5" t="s">
        <v>29</v>
      </c>
      <c r="G818" s="5" t="s">
        <v>41</v>
      </c>
      <c r="H818" s="5">
        <v>100</v>
      </c>
      <c r="I818" s="9">
        <v>6193.1</v>
      </c>
      <c r="J818" s="9">
        <v>0</v>
      </c>
      <c r="K818" s="9">
        <v>0</v>
      </c>
      <c r="L818" s="9" t="s">
        <v>90</v>
      </c>
      <c r="M818" s="15">
        <f t="shared" si="19"/>
        <v>619310</v>
      </c>
      <c r="N818" s="19">
        <v>14310</v>
      </c>
    </row>
    <row r="819" spans="1:14" x14ac:dyDescent="0.45">
      <c r="A819" s="4">
        <v>46063</v>
      </c>
      <c r="B819" s="4">
        <v>46066</v>
      </c>
      <c r="C819" s="5">
        <v>1540</v>
      </c>
      <c r="D819" s="9" t="s">
        <v>393</v>
      </c>
      <c r="E819" s="5" t="s">
        <v>67</v>
      </c>
      <c r="F819" s="5" t="s">
        <v>29</v>
      </c>
      <c r="G819" s="5" t="s">
        <v>30</v>
      </c>
      <c r="H819" s="5">
        <v>5</v>
      </c>
      <c r="I819" s="9">
        <v>24170</v>
      </c>
      <c r="J819" s="9">
        <v>0</v>
      </c>
      <c r="K819" s="9">
        <v>0</v>
      </c>
      <c r="L819" s="9" t="s">
        <v>31</v>
      </c>
      <c r="M819" s="15">
        <f t="shared" si="19"/>
        <v>120850</v>
      </c>
      <c r="N819" s="19">
        <v>0</v>
      </c>
    </row>
    <row r="820" spans="1:14" x14ac:dyDescent="0.45">
      <c r="A820" s="4">
        <v>46063</v>
      </c>
      <c r="B820" s="4">
        <v>46066</v>
      </c>
      <c r="C820" s="5">
        <v>1662</v>
      </c>
      <c r="D820" s="9" t="s">
        <v>438</v>
      </c>
      <c r="E820" s="5" t="s">
        <v>67</v>
      </c>
      <c r="F820" s="5" t="s">
        <v>29</v>
      </c>
      <c r="G820" s="5" t="s">
        <v>30</v>
      </c>
      <c r="H820" s="5">
        <v>100</v>
      </c>
      <c r="I820" s="9">
        <v>2128</v>
      </c>
      <c r="J820" s="9">
        <v>0</v>
      </c>
      <c r="K820" s="9">
        <v>0</v>
      </c>
      <c r="L820" s="9" t="s">
        <v>31</v>
      </c>
      <c r="M820" s="15">
        <f t="shared" si="19"/>
        <v>212800</v>
      </c>
      <c r="N820" s="19">
        <v>0</v>
      </c>
    </row>
    <row r="821" spans="1:14" x14ac:dyDescent="0.45">
      <c r="A821" s="4">
        <v>46063</v>
      </c>
      <c r="B821" s="4">
        <v>46066</v>
      </c>
      <c r="C821" s="5">
        <v>3563</v>
      </c>
      <c r="D821" s="9" t="s">
        <v>370</v>
      </c>
      <c r="E821" s="5" t="s">
        <v>67</v>
      </c>
      <c r="F821" s="5" t="s">
        <v>29</v>
      </c>
      <c r="G821" s="5" t="s">
        <v>30</v>
      </c>
      <c r="H821" s="5">
        <v>100</v>
      </c>
      <c r="I821" s="9">
        <v>9212</v>
      </c>
      <c r="J821" s="9">
        <v>0</v>
      </c>
      <c r="K821" s="9">
        <v>0</v>
      </c>
      <c r="L821" s="9" t="s">
        <v>31</v>
      </c>
      <c r="M821" s="15">
        <f t="shared" si="19"/>
        <v>921200</v>
      </c>
      <c r="N821" s="19">
        <v>0</v>
      </c>
    </row>
    <row r="822" spans="1:14" x14ac:dyDescent="0.45">
      <c r="A822" s="4">
        <v>46063</v>
      </c>
      <c r="B822" s="4">
        <v>46066</v>
      </c>
      <c r="C822" s="5">
        <v>5016</v>
      </c>
      <c r="D822" s="9" t="s">
        <v>439</v>
      </c>
      <c r="E822" s="5" t="s">
        <v>67</v>
      </c>
      <c r="F822" s="5" t="s">
        <v>29</v>
      </c>
      <c r="G822" s="5" t="s">
        <v>30</v>
      </c>
      <c r="H822" s="5">
        <v>100</v>
      </c>
      <c r="I822" s="9">
        <v>2766.5</v>
      </c>
      <c r="J822" s="9">
        <v>0</v>
      </c>
      <c r="K822" s="9">
        <v>0</v>
      </c>
      <c r="L822" s="9" t="s">
        <v>31</v>
      </c>
      <c r="M822" s="15">
        <f t="shared" si="19"/>
        <v>276650</v>
      </c>
      <c r="N822" s="19">
        <v>0</v>
      </c>
    </row>
    <row r="823" spans="1:14" x14ac:dyDescent="0.45">
      <c r="A823" s="4">
        <v>46063</v>
      </c>
      <c r="B823" s="4">
        <v>46066</v>
      </c>
      <c r="C823" s="5">
        <v>6269</v>
      </c>
      <c r="D823" s="9" t="s">
        <v>429</v>
      </c>
      <c r="E823" s="5" t="s">
        <v>67</v>
      </c>
      <c r="F823" s="5" t="s">
        <v>29</v>
      </c>
      <c r="G823" s="5" t="s">
        <v>30</v>
      </c>
      <c r="H823" s="5">
        <v>100</v>
      </c>
      <c r="I823" s="9">
        <v>15580</v>
      </c>
      <c r="J823" s="9">
        <v>0</v>
      </c>
      <c r="K823" s="9">
        <v>0</v>
      </c>
      <c r="L823" s="9" t="s">
        <v>31</v>
      </c>
      <c r="M823" s="15">
        <f t="shared" si="19"/>
        <v>1558000</v>
      </c>
      <c r="N823" s="19">
        <v>0</v>
      </c>
    </row>
    <row r="824" spans="1:14" x14ac:dyDescent="0.45">
      <c r="A824" s="4">
        <v>46063</v>
      </c>
      <c r="B824" s="4">
        <v>46066</v>
      </c>
      <c r="C824" s="5">
        <v>8411</v>
      </c>
      <c r="D824" s="9" t="s">
        <v>440</v>
      </c>
      <c r="E824" s="5" t="s">
        <v>67</v>
      </c>
      <c r="F824" s="5" t="s">
        <v>29</v>
      </c>
      <c r="G824" s="5" t="s">
        <v>30</v>
      </c>
      <c r="H824" s="5">
        <v>100</v>
      </c>
      <c r="I824" s="9">
        <v>7800</v>
      </c>
      <c r="J824" s="9">
        <v>0</v>
      </c>
      <c r="K824" s="9">
        <v>0</v>
      </c>
      <c r="L824" s="9" t="s">
        <v>31</v>
      </c>
      <c r="M824" s="15">
        <f t="shared" si="19"/>
        <v>780000</v>
      </c>
      <c r="N824" s="19">
        <v>0</v>
      </c>
    </row>
    <row r="825" spans="1:14" x14ac:dyDescent="0.45">
      <c r="A825" s="4">
        <v>46063</v>
      </c>
      <c r="B825" s="4">
        <v>46066</v>
      </c>
      <c r="C825" s="5">
        <v>8766</v>
      </c>
      <c r="D825" s="9" t="s">
        <v>44</v>
      </c>
      <c r="E825" s="5" t="s">
        <v>67</v>
      </c>
      <c r="F825" s="5" t="s">
        <v>29</v>
      </c>
      <c r="G825" s="5" t="s">
        <v>30</v>
      </c>
      <c r="H825" s="5">
        <v>100</v>
      </c>
      <c r="I825" s="9">
        <v>6224.2</v>
      </c>
      <c r="J825" s="9">
        <v>0</v>
      </c>
      <c r="K825" s="9">
        <v>0</v>
      </c>
      <c r="L825" s="9" t="s">
        <v>31</v>
      </c>
      <c r="M825" s="15">
        <f t="shared" si="19"/>
        <v>622420</v>
      </c>
      <c r="N825" s="19">
        <v>0</v>
      </c>
    </row>
    <row r="826" spans="1:14" x14ac:dyDescent="0.45">
      <c r="A826" s="4">
        <v>46065</v>
      </c>
      <c r="B826" s="4">
        <v>46069</v>
      </c>
      <c r="C826" s="5">
        <v>6269</v>
      </c>
      <c r="D826" s="9" t="s">
        <v>429</v>
      </c>
      <c r="E826" s="5" t="s">
        <v>67</v>
      </c>
      <c r="F826" s="5" t="s">
        <v>29</v>
      </c>
      <c r="G826" s="5" t="s">
        <v>41</v>
      </c>
      <c r="H826" s="5">
        <v>100</v>
      </c>
      <c r="I826" s="9">
        <v>16190</v>
      </c>
      <c r="J826" s="9">
        <v>0</v>
      </c>
      <c r="K826" s="9">
        <v>0</v>
      </c>
      <c r="L826" s="9" t="s">
        <v>90</v>
      </c>
      <c r="M826" s="15">
        <f t="shared" si="19"/>
        <v>1619000</v>
      </c>
      <c r="N826" s="19">
        <v>61000</v>
      </c>
    </row>
    <row r="827" spans="1:14" x14ac:dyDescent="0.45">
      <c r="A827" s="4">
        <v>46065</v>
      </c>
      <c r="B827" s="4">
        <v>46069</v>
      </c>
      <c r="C827" s="5">
        <v>8411</v>
      </c>
      <c r="D827" s="9" t="s">
        <v>440</v>
      </c>
      <c r="E827" s="5" t="s">
        <v>67</v>
      </c>
      <c r="F827" s="5" t="s">
        <v>29</v>
      </c>
      <c r="G827" s="5" t="s">
        <v>41</v>
      </c>
      <c r="H827" s="5">
        <v>100</v>
      </c>
      <c r="I827" s="9">
        <v>7841</v>
      </c>
      <c r="J827" s="9">
        <v>0</v>
      </c>
      <c r="K827" s="9">
        <v>0</v>
      </c>
      <c r="L827" s="9" t="s">
        <v>90</v>
      </c>
      <c r="M827" s="15">
        <f t="shared" si="19"/>
        <v>784100</v>
      </c>
      <c r="N827" s="19">
        <v>4100</v>
      </c>
    </row>
    <row r="828" spans="1:14" x14ac:dyDescent="0.45">
      <c r="A828" s="4">
        <v>46066</v>
      </c>
      <c r="B828" s="4">
        <v>46070</v>
      </c>
      <c r="C828" s="5">
        <v>5016</v>
      </c>
      <c r="D828" s="9" t="s">
        <v>439</v>
      </c>
      <c r="E828" s="5" t="s">
        <v>67</v>
      </c>
      <c r="F828" s="5" t="s">
        <v>29</v>
      </c>
      <c r="G828" s="5" t="s">
        <v>41</v>
      </c>
      <c r="H828" s="5">
        <v>100</v>
      </c>
      <c r="I828" s="9">
        <v>3304</v>
      </c>
      <c r="J828" s="9">
        <v>0</v>
      </c>
      <c r="K828" s="9">
        <v>0</v>
      </c>
      <c r="L828" s="9" t="s">
        <v>90</v>
      </c>
      <c r="M828" s="15">
        <f t="shared" si="19"/>
        <v>330400</v>
      </c>
      <c r="N828" s="19">
        <v>53700</v>
      </c>
    </row>
    <row r="829" spans="1:14" x14ac:dyDescent="0.45">
      <c r="A829" s="4">
        <v>46066</v>
      </c>
      <c r="B829" s="4">
        <v>46070</v>
      </c>
      <c r="C829" s="5">
        <v>8031</v>
      </c>
      <c r="D829" s="9" t="s">
        <v>407</v>
      </c>
      <c r="E829" s="5" t="s">
        <v>67</v>
      </c>
      <c r="F829" s="5" t="s">
        <v>29</v>
      </c>
      <c r="G829" s="5" t="s">
        <v>41</v>
      </c>
      <c r="H829" s="5">
        <v>100</v>
      </c>
      <c r="I829" s="9">
        <v>5747</v>
      </c>
      <c r="J829" s="9">
        <v>0</v>
      </c>
      <c r="K829" s="9">
        <v>0</v>
      </c>
      <c r="L829" s="9" t="s">
        <v>90</v>
      </c>
      <c r="M829" s="15">
        <f t="shared" si="19"/>
        <v>574700</v>
      </c>
      <c r="N829" s="19">
        <v>65300</v>
      </c>
    </row>
    <row r="830" spans="1:14" x14ac:dyDescent="0.45">
      <c r="A830" s="4">
        <v>46069</v>
      </c>
      <c r="B830" s="4">
        <v>46071</v>
      </c>
      <c r="C830" s="5">
        <v>4519</v>
      </c>
      <c r="D830" s="9" t="s">
        <v>398</v>
      </c>
      <c r="E830" s="5" t="s">
        <v>67</v>
      </c>
      <c r="F830" s="5" t="s">
        <v>29</v>
      </c>
      <c r="G830" s="5" t="s">
        <v>30</v>
      </c>
      <c r="H830" s="5">
        <v>100</v>
      </c>
      <c r="I830" s="7">
        <v>9265</v>
      </c>
      <c r="J830" s="9">
        <v>0</v>
      </c>
      <c r="K830" s="9">
        <v>0</v>
      </c>
      <c r="L830" s="9" t="s">
        <v>31</v>
      </c>
      <c r="M830" s="15">
        <f t="shared" si="19"/>
        <v>926500</v>
      </c>
      <c r="N830" s="19">
        <v>0</v>
      </c>
    </row>
    <row r="831" spans="1:14" x14ac:dyDescent="0.45">
      <c r="A831" s="4">
        <v>46069</v>
      </c>
      <c r="B831" s="4">
        <v>46071</v>
      </c>
      <c r="C831" s="5">
        <v>5602</v>
      </c>
      <c r="D831" s="9" t="s">
        <v>441</v>
      </c>
      <c r="E831" s="5" t="s">
        <v>67</v>
      </c>
      <c r="F831" s="5" t="s">
        <v>29</v>
      </c>
      <c r="G831" s="5" t="s">
        <v>30</v>
      </c>
      <c r="H831" s="5">
        <v>300</v>
      </c>
      <c r="I831" s="7">
        <v>1699.8</v>
      </c>
      <c r="J831" s="9">
        <v>0</v>
      </c>
      <c r="K831" s="9">
        <v>0</v>
      </c>
      <c r="L831" s="9" t="s">
        <v>31</v>
      </c>
      <c r="M831" s="15">
        <f t="shared" si="19"/>
        <v>509940</v>
      </c>
      <c r="N831" s="19">
        <v>0</v>
      </c>
    </row>
    <row r="832" spans="1:14" x14ac:dyDescent="0.45">
      <c r="A832" s="4">
        <v>46069</v>
      </c>
      <c r="B832" s="4">
        <v>46071</v>
      </c>
      <c r="C832" s="5">
        <v>6861</v>
      </c>
      <c r="D832" s="9" t="s">
        <v>442</v>
      </c>
      <c r="E832" s="5" t="s">
        <v>67</v>
      </c>
      <c r="F832" s="5" t="s">
        <v>29</v>
      </c>
      <c r="G832" s="5" t="s">
        <v>30</v>
      </c>
      <c r="H832" s="5">
        <v>100</v>
      </c>
      <c r="I832" s="7">
        <v>58300</v>
      </c>
      <c r="J832" s="9">
        <v>0</v>
      </c>
      <c r="K832" s="9">
        <v>0</v>
      </c>
      <c r="L832" s="9" t="s">
        <v>31</v>
      </c>
      <c r="M832" s="15">
        <f t="shared" si="19"/>
        <v>5830000</v>
      </c>
      <c r="N832" s="19">
        <v>0</v>
      </c>
    </row>
    <row r="833" spans="1:14" x14ac:dyDescent="0.45">
      <c r="A833" s="4">
        <v>46069</v>
      </c>
      <c r="B833" s="4">
        <v>46071</v>
      </c>
      <c r="C833" s="5">
        <v>7721</v>
      </c>
      <c r="D833" s="9" t="s">
        <v>443</v>
      </c>
      <c r="E833" s="5" t="s">
        <v>67</v>
      </c>
      <c r="F833" s="5" t="s">
        <v>29</v>
      </c>
      <c r="G833" s="5" t="s">
        <v>30</v>
      </c>
      <c r="H833" s="5">
        <v>100</v>
      </c>
      <c r="I833" s="7">
        <v>7979</v>
      </c>
      <c r="J833" s="9">
        <v>0</v>
      </c>
      <c r="K833" s="9">
        <v>0</v>
      </c>
      <c r="L833" s="9" t="s">
        <v>31</v>
      </c>
      <c r="M833" s="15">
        <f t="shared" si="19"/>
        <v>797900</v>
      </c>
      <c r="N833" s="19">
        <v>0</v>
      </c>
    </row>
    <row r="834" spans="1:14" x14ac:dyDescent="0.45">
      <c r="A834" s="4">
        <v>46071</v>
      </c>
      <c r="B834" s="4">
        <v>46073</v>
      </c>
      <c r="C834" s="5">
        <v>5602</v>
      </c>
      <c r="D834" s="9" t="s">
        <v>441</v>
      </c>
      <c r="E834" s="5" t="s">
        <v>67</v>
      </c>
      <c r="F834" s="5" t="s">
        <v>29</v>
      </c>
      <c r="G834" s="5" t="s">
        <v>30</v>
      </c>
      <c r="H834" s="5">
        <v>100</v>
      </c>
      <c r="I834" s="7">
        <v>1720.7</v>
      </c>
      <c r="J834" s="9">
        <v>0</v>
      </c>
      <c r="K834" s="9">
        <v>0</v>
      </c>
      <c r="L834" s="9" t="s">
        <v>31</v>
      </c>
      <c r="M834" s="15">
        <f t="shared" si="19"/>
        <v>172070</v>
      </c>
      <c r="N834" s="19">
        <v>0</v>
      </c>
    </row>
    <row r="835" spans="1:14" x14ac:dyDescent="0.45">
      <c r="A835" s="4">
        <v>46071</v>
      </c>
      <c r="B835" s="4">
        <v>46073</v>
      </c>
      <c r="C835" s="5">
        <v>7003</v>
      </c>
      <c r="D835" s="9" t="s">
        <v>444</v>
      </c>
      <c r="E835" s="5" t="s">
        <v>67</v>
      </c>
      <c r="F835" s="5" t="s">
        <v>29</v>
      </c>
      <c r="G835" s="5" t="s">
        <v>30</v>
      </c>
      <c r="H835" s="5">
        <v>100</v>
      </c>
      <c r="I835" s="7">
        <v>7492.6</v>
      </c>
      <c r="J835" s="9">
        <v>0</v>
      </c>
      <c r="K835" s="9">
        <v>0</v>
      </c>
      <c r="L835" s="9" t="s">
        <v>31</v>
      </c>
      <c r="M835" s="15">
        <f t="shared" si="19"/>
        <v>749260</v>
      </c>
      <c r="N835" s="19">
        <v>0</v>
      </c>
    </row>
    <row r="836" spans="1:14" x14ac:dyDescent="0.45">
      <c r="A836" s="4">
        <v>46072</v>
      </c>
      <c r="B836" s="4">
        <v>46077</v>
      </c>
      <c r="C836" s="5">
        <v>1540</v>
      </c>
      <c r="D836" s="9" t="s">
        <v>393</v>
      </c>
      <c r="E836" s="5" t="s">
        <v>67</v>
      </c>
      <c r="F836" s="5" t="s">
        <v>29</v>
      </c>
      <c r="G836" s="5" t="s">
        <v>30</v>
      </c>
      <c r="H836" s="5">
        <v>5</v>
      </c>
      <c r="I836" s="7">
        <v>23735</v>
      </c>
      <c r="J836" s="9">
        <v>0</v>
      </c>
      <c r="K836" s="9">
        <v>0</v>
      </c>
      <c r="L836" s="9" t="s">
        <v>31</v>
      </c>
      <c r="M836" s="15">
        <f t="shared" si="19"/>
        <v>118675</v>
      </c>
      <c r="N836" s="19">
        <v>0</v>
      </c>
    </row>
    <row r="837" spans="1:14" x14ac:dyDescent="0.45">
      <c r="A837" s="4">
        <v>46072</v>
      </c>
      <c r="B837" s="4">
        <v>46077</v>
      </c>
      <c r="C837" s="5">
        <v>6861</v>
      </c>
      <c r="D837" s="9" t="s">
        <v>442</v>
      </c>
      <c r="E837" s="5" t="s">
        <v>67</v>
      </c>
      <c r="F837" s="5" t="s">
        <v>29</v>
      </c>
      <c r="G837" s="5" t="s">
        <v>41</v>
      </c>
      <c r="H837" s="5">
        <v>100</v>
      </c>
      <c r="I837" s="7">
        <v>60400</v>
      </c>
      <c r="J837" s="9">
        <v>0</v>
      </c>
      <c r="K837" s="9">
        <v>0</v>
      </c>
      <c r="L837" s="9" t="s">
        <v>90</v>
      </c>
      <c r="M837" s="15">
        <f t="shared" si="19"/>
        <v>6040000</v>
      </c>
      <c r="N837" s="19">
        <v>210000</v>
      </c>
    </row>
    <row r="838" spans="1:14" x14ac:dyDescent="0.45">
      <c r="A838" s="4">
        <v>46072</v>
      </c>
      <c r="B838" s="4">
        <v>46077</v>
      </c>
      <c r="C838" s="5">
        <v>7003</v>
      </c>
      <c r="D838" s="9" t="s">
        <v>444</v>
      </c>
      <c r="E838" s="5" t="s">
        <v>67</v>
      </c>
      <c r="F838" s="5" t="s">
        <v>29</v>
      </c>
      <c r="G838" s="5" t="s">
        <v>41</v>
      </c>
      <c r="H838" s="5">
        <v>100</v>
      </c>
      <c r="I838" s="7">
        <v>7820</v>
      </c>
      <c r="J838" s="9">
        <v>0</v>
      </c>
      <c r="K838" s="9">
        <v>0</v>
      </c>
      <c r="L838" s="9" t="s">
        <v>90</v>
      </c>
      <c r="M838" s="15">
        <f t="shared" si="19"/>
        <v>782000</v>
      </c>
      <c r="N838" s="19">
        <v>32740</v>
      </c>
    </row>
    <row r="839" spans="1:14" x14ac:dyDescent="0.45">
      <c r="A839" s="4">
        <v>46072</v>
      </c>
      <c r="B839" s="4">
        <v>46077</v>
      </c>
      <c r="C839" s="5">
        <v>5801</v>
      </c>
      <c r="D839" s="9" t="s">
        <v>445</v>
      </c>
      <c r="E839" s="5" t="s">
        <v>67</v>
      </c>
      <c r="F839" s="5" t="s">
        <v>29</v>
      </c>
      <c r="G839" s="5" t="s">
        <v>30</v>
      </c>
      <c r="H839" s="5">
        <v>100</v>
      </c>
      <c r="I839" s="7">
        <v>22925</v>
      </c>
      <c r="J839" s="9">
        <v>0</v>
      </c>
      <c r="K839" s="9">
        <v>0</v>
      </c>
      <c r="L839" s="9" t="s">
        <v>31</v>
      </c>
      <c r="M839" s="15">
        <f t="shared" si="19"/>
        <v>2292500</v>
      </c>
      <c r="N839" s="19">
        <v>0</v>
      </c>
    </row>
    <row r="840" spans="1:14" x14ac:dyDescent="0.45">
      <c r="A840" s="4">
        <v>46077</v>
      </c>
      <c r="B840" s="4">
        <v>46079</v>
      </c>
      <c r="C840" s="5" t="s">
        <v>446</v>
      </c>
      <c r="D840" s="9" t="s">
        <v>447</v>
      </c>
      <c r="E840" s="5" t="s">
        <v>67</v>
      </c>
      <c r="F840" s="5" t="s">
        <v>29</v>
      </c>
      <c r="G840" s="5" t="s">
        <v>30</v>
      </c>
      <c r="H840" s="5">
        <v>100</v>
      </c>
      <c r="I840" s="7">
        <v>22430</v>
      </c>
      <c r="J840" s="9">
        <v>0</v>
      </c>
      <c r="K840" s="9">
        <v>0</v>
      </c>
      <c r="L840" s="9" t="s">
        <v>31</v>
      </c>
      <c r="M840" s="15">
        <f t="shared" si="19"/>
        <v>2243000</v>
      </c>
      <c r="N840" s="19">
        <v>0</v>
      </c>
    </row>
    <row r="841" spans="1:14" x14ac:dyDescent="0.45">
      <c r="A841" s="4">
        <v>46078</v>
      </c>
      <c r="B841" s="4">
        <v>46080</v>
      </c>
      <c r="C841" s="5">
        <v>1662</v>
      </c>
      <c r="D841" s="9" t="s">
        <v>438</v>
      </c>
      <c r="E841" s="5" t="s">
        <v>67</v>
      </c>
      <c r="F841" s="5" t="s">
        <v>29</v>
      </c>
      <c r="G841" s="5" t="s">
        <v>41</v>
      </c>
      <c r="H841" s="5">
        <v>100</v>
      </c>
      <c r="I841" s="7">
        <v>2263.5</v>
      </c>
      <c r="J841" s="9">
        <v>0</v>
      </c>
      <c r="K841" s="9">
        <v>0</v>
      </c>
      <c r="L841" s="9" t="s">
        <v>90</v>
      </c>
      <c r="M841" s="15">
        <f t="shared" si="19"/>
        <v>226350</v>
      </c>
      <c r="N841" s="19">
        <v>13550</v>
      </c>
    </row>
    <row r="842" spans="1:14" x14ac:dyDescent="0.45">
      <c r="A842" s="4">
        <v>46078</v>
      </c>
      <c r="B842" s="4">
        <v>46080</v>
      </c>
      <c r="C842" s="5">
        <v>1928</v>
      </c>
      <c r="D842" s="9" t="s">
        <v>448</v>
      </c>
      <c r="E842" s="5" t="s">
        <v>67</v>
      </c>
      <c r="F842" s="5" t="s">
        <v>29</v>
      </c>
      <c r="G842" s="5" t="s">
        <v>41</v>
      </c>
      <c r="H842" s="5">
        <v>100</v>
      </c>
      <c r="I842" s="7">
        <v>3797</v>
      </c>
      <c r="J842" s="9">
        <v>0</v>
      </c>
      <c r="K842" s="9">
        <v>0</v>
      </c>
      <c r="L842" s="9" t="s">
        <v>90</v>
      </c>
      <c r="M842" s="15">
        <f t="shared" si="19"/>
        <v>379700</v>
      </c>
      <c r="N842" s="19">
        <v>6000</v>
      </c>
    </row>
    <row r="843" spans="1:14" x14ac:dyDescent="0.45">
      <c r="A843" s="4">
        <v>46078</v>
      </c>
      <c r="B843" s="4">
        <v>46080</v>
      </c>
      <c r="C843" s="5">
        <v>3563</v>
      </c>
      <c r="D843" s="9" t="s">
        <v>370</v>
      </c>
      <c r="E843" s="5" t="s">
        <v>67</v>
      </c>
      <c r="F843" s="5" t="s">
        <v>29</v>
      </c>
      <c r="G843" s="5" t="s">
        <v>41</v>
      </c>
      <c r="H843" s="5">
        <v>100</v>
      </c>
      <c r="I843" s="7">
        <v>9620</v>
      </c>
      <c r="J843" s="9">
        <v>0</v>
      </c>
      <c r="K843" s="9">
        <v>0</v>
      </c>
      <c r="L843" s="9" t="s">
        <v>90</v>
      </c>
      <c r="M843" s="15">
        <f t="shared" si="19"/>
        <v>962000</v>
      </c>
      <c r="N843" s="19">
        <v>40800</v>
      </c>
    </row>
    <row r="844" spans="1:14" x14ac:dyDescent="0.45">
      <c r="A844" s="4">
        <v>46078</v>
      </c>
      <c r="B844" s="4">
        <v>46080</v>
      </c>
      <c r="C844" s="5">
        <v>3692</v>
      </c>
      <c r="D844" s="9" t="s">
        <v>397</v>
      </c>
      <c r="E844" s="5" t="s">
        <v>67</v>
      </c>
      <c r="F844" s="5" t="s">
        <v>29</v>
      </c>
      <c r="G844" s="5" t="s">
        <v>41</v>
      </c>
      <c r="H844" s="5">
        <v>200</v>
      </c>
      <c r="I844" s="7">
        <v>8010</v>
      </c>
      <c r="J844" s="9">
        <v>0</v>
      </c>
      <c r="K844" s="9">
        <v>0</v>
      </c>
      <c r="L844" s="9" t="s">
        <v>90</v>
      </c>
      <c r="M844" s="15">
        <f t="shared" si="19"/>
        <v>1602000</v>
      </c>
      <c r="N844" s="19">
        <f>-201500*2</f>
        <v>-403000</v>
      </c>
    </row>
    <row r="845" spans="1:14" x14ac:dyDescent="0.45">
      <c r="A845" s="4">
        <v>46078</v>
      </c>
      <c r="B845" s="4">
        <v>46080</v>
      </c>
      <c r="C845" s="5">
        <v>4519</v>
      </c>
      <c r="D845" s="9" t="s">
        <v>398</v>
      </c>
      <c r="E845" s="5" t="s">
        <v>67</v>
      </c>
      <c r="F845" s="5" t="s">
        <v>29</v>
      </c>
      <c r="G845" s="5" t="s">
        <v>41</v>
      </c>
      <c r="H845" s="5">
        <v>100</v>
      </c>
      <c r="I845" s="7">
        <v>10285</v>
      </c>
      <c r="J845" s="9">
        <v>0</v>
      </c>
      <c r="K845" s="9">
        <v>0</v>
      </c>
      <c r="L845" s="9" t="s">
        <v>90</v>
      </c>
      <c r="M845" s="15">
        <f t="shared" si="19"/>
        <v>1028500</v>
      </c>
      <c r="N845" s="19">
        <v>102000</v>
      </c>
    </row>
    <row r="846" spans="1:14" x14ac:dyDescent="0.45">
      <c r="A846" s="4">
        <v>46078</v>
      </c>
      <c r="B846" s="4">
        <v>46080</v>
      </c>
      <c r="C846" s="5">
        <v>5602</v>
      </c>
      <c r="D846" s="9" t="s">
        <v>441</v>
      </c>
      <c r="E846" s="5" t="s">
        <v>67</v>
      </c>
      <c r="F846" s="5" t="s">
        <v>29</v>
      </c>
      <c r="G846" s="5" t="s">
        <v>41</v>
      </c>
      <c r="H846" s="5">
        <v>400</v>
      </c>
      <c r="I846" s="7">
        <v>1707</v>
      </c>
      <c r="J846" s="9">
        <v>0</v>
      </c>
      <c r="K846" s="9">
        <v>0</v>
      </c>
      <c r="L846" s="9" t="s">
        <v>90</v>
      </c>
      <c r="M846" s="15">
        <f t="shared" si="19"/>
        <v>682800</v>
      </c>
      <c r="N846" s="19">
        <v>400</v>
      </c>
    </row>
    <row r="847" spans="1:14" x14ac:dyDescent="0.45">
      <c r="A847" s="4">
        <v>46078</v>
      </c>
      <c r="B847" s="4">
        <v>46080</v>
      </c>
      <c r="C847" s="5">
        <v>5801</v>
      </c>
      <c r="D847" s="9" t="s">
        <v>445</v>
      </c>
      <c r="E847" s="5" t="s">
        <v>67</v>
      </c>
      <c r="F847" s="5" t="s">
        <v>29</v>
      </c>
      <c r="G847" s="5" t="s">
        <v>41</v>
      </c>
      <c r="H847" s="5">
        <v>100</v>
      </c>
      <c r="I847" s="7">
        <v>28057.5</v>
      </c>
      <c r="J847" s="9">
        <v>0</v>
      </c>
      <c r="K847" s="9">
        <v>0</v>
      </c>
      <c r="L847" s="9" t="s">
        <v>90</v>
      </c>
      <c r="M847" s="15">
        <f t="shared" si="19"/>
        <v>2805750</v>
      </c>
      <c r="N847" s="19">
        <v>513250</v>
      </c>
    </row>
    <row r="848" spans="1:14" x14ac:dyDescent="0.45">
      <c r="A848" s="4">
        <v>46078</v>
      </c>
      <c r="B848" s="4">
        <v>46080</v>
      </c>
      <c r="C848" s="5">
        <v>7721</v>
      </c>
      <c r="D848" s="9" t="s">
        <v>443</v>
      </c>
      <c r="E848" s="5" t="s">
        <v>67</v>
      </c>
      <c r="F848" s="5" t="s">
        <v>29</v>
      </c>
      <c r="G848" s="5" t="s">
        <v>41</v>
      </c>
      <c r="H848" s="5">
        <v>100</v>
      </c>
      <c r="I848" s="7">
        <v>8444</v>
      </c>
      <c r="J848" s="9">
        <v>0</v>
      </c>
      <c r="K848" s="9">
        <v>0</v>
      </c>
      <c r="L848" s="9" t="s">
        <v>90</v>
      </c>
      <c r="M848" s="15">
        <f t="shared" si="19"/>
        <v>844400</v>
      </c>
      <c r="N848" s="19">
        <v>46500</v>
      </c>
    </row>
    <row r="849" spans="1:14" x14ac:dyDescent="0.45">
      <c r="A849" s="4">
        <v>46078</v>
      </c>
      <c r="B849" s="4">
        <v>46080</v>
      </c>
      <c r="C849" s="5">
        <v>8766</v>
      </c>
      <c r="D849" s="9" t="s">
        <v>44</v>
      </c>
      <c r="E849" s="5" t="s">
        <v>67</v>
      </c>
      <c r="F849" s="5" t="s">
        <v>29</v>
      </c>
      <c r="G849" s="5" t="s">
        <v>41</v>
      </c>
      <c r="H849" s="5">
        <v>100</v>
      </c>
      <c r="I849" s="7">
        <v>6297</v>
      </c>
      <c r="J849" s="9">
        <v>0</v>
      </c>
      <c r="K849" s="9">
        <v>0</v>
      </c>
      <c r="L849" s="9" t="s">
        <v>90</v>
      </c>
      <c r="M849" s="15">
        <f t="shared" si="19"/>
        <v>629700</v>
      </c>
      <c r="N849" s="19">
        <v>7200</v>
      </c>
    </row>
    <row r="850" spans="1:14" x14ac:dyDescent="0.45">
      <c r="A850" s="4">
        <v>46078</v>
      </c>
      <c r="B850" s="4">
        <v>46083</v>
      </c>
      <c r="C850" s="5">
        <v>9602</v>
      </c>
      <c r="D850" s="9" t="s">
        <v>131</v>
      </c>
      <c r="E850" s="5" t="s">
        <v>67</v>
      </c>
      <c r="F850" s="5"/>
      <c r="G850" s="5" t="s">
        <v>125</v>
      </c>
      <c r="H850" s="5">
        <v>400</v>
      </c>
      <c r="I850" s="7">
        <v>1922.8</v>
      </c>
      <c r="J850" s="9">
        <v>0</v>
      </c>
      <c r="K850" s="9">
        <v>0</v>
      </c>
      <c r="L850" s="9" t="s">
        <v>31</v>
      </c>
      <c r="M850" s="15">
        <v>0</v>
      </c>
      <c r="N850" s="19">
        <v>0</v>
      </c>
    </row>
    <row r="851" spans="1:14" x14ac:dyDescent="0.45">
      <c r="A851" s="4">
        <v>46080</v>
      </c>
      <c r="B851" s="4">
        <v>46084</v>
      </c>
      <c r="C851" s="5">
        <v>5602</v>
      </c>
      <c r="D851" s="9" t="s">
        <v>441</v>
      </c>
      <c r="E851" s="5" t="s">
        <v>67</v>
      </c>
      <c r="F851" s="5" t="s">
        <v>29</v>
      </c>
      <c r="G851" s="5" t="s">
        <v>30</v>
      </c>
      <c r="H851" s="5">
        <v>300</v>
      </c>
      <c r="I851" s="7">
        <v>1766</v>
      </c>
      <c r="J851" s="9">
        <v>0</v>
      </c>
      <c r="K851" s="9">
        <v>0</v>
      </c>
      <c r="L851" s="9" t="s">
        <v>31</v>
      </c>
      <c r="M851" s="15">
        <f t="shared" si="19"/>
        <v>529800</v>
      </c>
      <c r="N851" s="19">
        <v>0</v>
      </c>
    </row>
    <row r="852" spans="1:14" x14ac:dyDescent="0.45">
      <c r="A852" s="4">
        <v>46080</v>
      </c>
      <c r="B852" s="4">
        <v>46084</v>
      </c>
      <c r="C852" s="5">
        <v>2768</v>
      </c>
      <c r="D852" s="9" t="s">
        <v>430</v>
      </c>
      <c r="E852" s="5" t="s">
        <v>67</v>
      </c>
      <c r="F852" s="5" t="s">
        <v>29</v>
      </c>
      <c r="G852" s="5" t="s">
        <v>30</v>
      </c>
      <c r="H852" s="5">
        <v>100</v>
      </c>
      <c r="I852" s="7">
        <v>7067.4</v>
      </c>
      <c r="J852" s="9">
        <v>0</v>
      </c>
      <c r="K852" s="9">
        <v>0</v>
      </c>
      <c r="L852" s="9" t="s">
        <v>31</v>
      </c>
      <c r="M852" s="15">
        <f t="shared" si="19"/>
        <v>706740</v>
      </c>
      <c r="N852" s="19">
        <v>0</v>
      </c>
    </row>
    <row r="853" spans="1:14" x14ac:dyDescent="0.45">
      <c r="A853" s="4">
        <v>46083</v>
      </c>
      <c r="B853" s="4">
        <v>46085</v>
      </c>
      <c r="C853" s="5">
        <v>7012</v>
      </c>
      <c r="D853" s="9" t="s">
        <v>69</v>
      </c>
      <c r="E853" s="5" t="s">
        <v>67</v>
      </c>
      <c r="F853" s="5" t="s">
        <v>29</v>
      </c>
      <c r="G853" s="5" t="s">
        <v>30</v>
      </c>
      <c r="H853" s="5">
        <v>100</v>
      </c>
      <c r="I853" s="7">
        <v>18465</v>
      </c>
      <c r="J853" s="9">
        <v>0</v>
      </c>
      <c r="K853" s="9">
        <v>0</v>
      </c>
      <c r="L853" s="9" t="s">
        <v>31</v>
      </c>
      <c r="M853" s="15">
        <f t="shared" si="19"/>
        <v>1846500</v>
      </c>
      <c r="N853" s="19">
        <v>0</v>
      </c>
    </row>
    <row r="854" spans="1:14" x14ac:dyDescent="0.45">
      <c r="A854" s="4">
        <v>46083</v>
      </c>
      <c r="B854" s="4">
        <v>46085</v>
      </c>
      <c r="C854" s="5">
        <v>9101</v>
      </c>
      <c r="D854" s="9" t="s">
        <v>94</v>
      </c>
      <c r="E854" s="5" t="s">
        <v>67</v>
      </c>
      <c r="F854" s="5" t="s">
        <v>29</v>
      </c>
      <c r="G854" s="5" t="s">
        <v>30</v>
      </c>
      <c r="H854" s="5">
        <v>100</v>
      </c>
      <c r="I854" s="7">
        <v>5490</v>
      </c>
      <c r="J854" s="9">
        <v>0</v>
      </c>
      <c r="K854" s="9">
        <v>0</v>
      </c>
      <c r="L854" s="9" t="s">
        <v>31</v>
      </c>
      <c r="M854" s="15">
        <f t="shared" si="19"/>
        <v>549000</v>
      </c>
      <c r="N854" s="19">
        <v>0</v>
      </c>
    </row>
    <row r="855" spans="1:14" x14ac:dyDescent="0.45">
      <c r="A855" s="4">
        <v>46091</v>
      </c>
      <c r="B855" s="4">
        <v>46093</v>
      </c>
      <c r="C855" s="5">
        <v>5801</v>
      </c>
      <c r="D855" s="9" t="s">
        <v>445</v>
      </c>
      <c r="E855" s="5" t="s">
        <v>67</v>
      </c>
      <c r="F855" s="5" t="s">
        <v>29</v>
      </c>
      <c r="G855" s="5" t="s">
        <v>30</v>
      </c>
      <c r="H855" s="5">
        <v>100</v>
      </c>
      <c r="I855" s="7">
        <v>28100</v>
      </c>
      <c r="J855" s="9">
        <v>0</v>
      </c>
      <c r="K855" s="9">
        <v>0</v>
      </c>
      <c r="L855" s="9" t="s">
        <v>31</v>
      </c>
      <c r="M855" s="15">
        <f t="shared" si="19"/>
        <v>2810000</v>
      </c>
      <c r="N855" s="19">
        <v>0</v>
      </c>
    </row>
    <row r="856" spans="1:14" x14ac:dyDescent="0.45">
      <c r="A856" s="4">
        <v>46091</v>
      </c>
      <c r="B856" s="4">
        <v>46093</v>
      </c>
      <c r="C856" s="5">
        <v>5801</v>
      </c>
      <c r="D856" s="9" t="s">
        <v>445</v>
      </c>
      <c r="E856" s="5" t="s">
        <v>67</v>
      </c>
      <c r="F856" s="5" t="s">
        <v>29</v>
      </c>
      <c r="G856" s="5" t="s">
        <v>41</v>
      </c>
      <c r="H856" s="5">
        <v>100</v>
      </c>
      <c r="I856" s="7">
        <v>27640.5</v>
      </c>
      <c r="J856" s="9">
        <v>0</v>
      </c>
      <c r="K856" s="9">
        <v>0</v>
      </c>
      <c r="L856" s="9" t="s">
        <v>90</v>
      </c>
      <c r="M856" s="15">
        <f t="shared" si="19"/>
        <v>2764050</v>
      </c>
      <c r="N856" s="19">
        <v>-45950</v>
      </c>
    </row>
    <row r="857" spans="1:14" x14ac:dyDescent="0.45">
      <c r="A857" s="4">
        <v>46092</v>
      </c>
      <c r="B857" s="4">
        <v>46094</v>
      </c>
      <c r="C857" s="5">
        <v>1540</v>
      </c>
      <c r="D857" s="9" t="s">
        <v>393</v>
      </c>
      <c r="E857" s="5" t="s">
        <v>67</v>
      </c>
      <c r="F857" s="5" t="s">
        <v>29</v>
      </c>
      <c r="G857" s="5" t="s">
        <v>30</v>
      </c>
      <c r="H857" s="5">
        <v>10</v>
      </c>
      <c r="I857" s="7">
        <v>24790</v>
      </c>
      <c r="J857" s="9">
        <v>0</v>
      </c>
      <c r="K857" s="9">
        <v>0</v>
      </c>
      <c r="L857" s="9" t="s">
        <v>31</v>
      </c>
      <c r="M857" s="15">
        <f t="shared" si="19"/>
        <v>247900</v>
      </c>
      <c r="N857" s="19">
        <v>0</v>
      </c>
    </row>
    <row r="858" spans="1:14" x14ac:dyDescent="0.45">
      <c r="A858" s="4">
        <v>46092</v>
      </c>
      <c r="B858" s="4">
        <v>46094</v>
      </c>
      <c r="C858" s="5">
        <v>5016</v>
      </c>
      <c r="D858" s="9" t="s">
        <v>439</v>
      </c>
      <c r="E858" s="5" t="s">
        <v>67</v>
      </c>
      <c r="F858" s="5" t="s">
        <v>29</v>
      </c>
      <c r="G858" s="5" t="s">
        <v>30</v>
      </c>
      <c r="H858" s="5">
        <v>100</v>
      </c>
      <c r="I858" s="7">
        <v>4326</v>
      </c>
      <c r="J858" s="9">
        <v>0</v>
      </c>
      <c r="K858" s="9">
        <v>0</v>
      </c>
      <c r="L858" s="9" t="s">
        <v>31</v>
      </c>
      <c r="M858" s="15">
        <f t="shared" si="19"/>
        <v>432600</v>
      </c>
      <c r="N858" s="19">
        <v>0</v>
      </c>
    </row>
    <row r="859" spans="1:14" x14ac:dyDescent="0.45">
      <c r="A859" s="4">
        <v>46092</v>
      </c>
      <c r="B859" s="4">
        <v>46094</v>
      </c>
      <c r="C859" s="5">
        <v>5801</v>
      </c>
      <c r="D859" s="9" t="s">
        <v>445</v>
      </c>
      <c r="E859" s="5" t="s">
        <v>67</v>
      </c>
      <c r="F859" s="5" t="s">
        <v>29</v>
      </c>
      <c r="G859" s="5" t="s">
        <v>30</v>
      </c>
      <c r="H859" s="5">
        <v>100</v>
      </c>
      <c r="I859" s="7">
        <v>30580</v>
      </c>
      <c r="J859" s="9">
        <v>0</v>
      </c>
      <c r="K859" s="9">
        <v>0</v>
      </c>
      <c r="L859" s="9" t="s">
        <v>31</v>
      </c>
      <c r="M859" s="15">
        <f t="shared" si="19"/>
        <v>3058000</v>
      </c>
      <c r="N859" s="19">
        <v>0</v>
      </c>
    </row>
    <row r="860" spans="1:14" x14ac:dyDescent="0.45">
      <c r="A860" s="4">
        <v>46092</v>
      </c>
      <c r="B860" s="4">
        <v>46094</v>
      </c>
      <c r="C860" s="5">
        <v>6965</v>
      </c>
      <c r="D860" s="9" t="s">
        <v>411</v>
      </c>
      <c r="E860" s="5" t="s">
        <v>67</v>
      </c>
      <c r="F860" s="5" t="s">
        <v>29</v>
      </c>
      <c r="G860" s="5" t="s">
        <v>30</v>
      </c>
      <c r="H860" s="5">
        <v>100</v>
      </c>
      <c r="I860" s="7">
        <v>2109.4</v>
      </c>
      <c r="J860" s="9">
        <v>0</v>
      </c>
      <c r="K860" s="9">
        <v>0</v>
      </c>
      <c r="L860" s="9" t="s">
        <v>31</v>
      </c>
      <c r="M860" s="15">
        <f t="shared" si="19"/>
        <v>210940</v>
      </c>
      <c r="N860" s="19">
        <v>0</v>
      </c>
    </row>
    <row r="861" spans="1:14" x14ac:dyDescent="0.45">
      <c r="A861" s="4">
        <v>46093</v>
      </c>
      <c r="B861" s="4">
        <v>46097</v>
      </c>
      <c r="C861" s="5">
        <v>6777</v>
      </c>
      <c r="D861" s="9" t="s">
        <v>450</v>
      </c>
      <c r="E861" s="5" t="s">
        <v>67</v>
      </c>
      <c r="F861" s="5" t="s">
        <v>29</v>
      </c>
      <c r="G861" s="5" t="s">
        <v>30</v>
      </c>
      <c r="H861" s="5">
        <v>100</v>
      </c>
      <c r="I861" s="7">
        <v>23500</v>
      </c>
      <c r="J861" s="9">
        <v>0</v>
      </c>
      <c r="K861" s="9">
        <v>0</v>
      </c>
      <c r="L861" s="9" t="s">
        <v>31</v>
      </c>
      <c r="M861" s="15">
        <f t="shared" si="19"/>
        <v>2350000</v>
      </c>
      <c r="N861" s="19">
        <v>0</v>
      </c>
    </row>
    <row r="862" spans="1:14" x14ac:dyDescent="0.45">
      <c r="A862" s="4">
        <v>46097</v>
      </c>
      <c r="B862" s="4">
        <v>46099</v>
      </c>
      <c r="C862" s="5">
        <v>6777</v>
      </c>
      <c r="D862" s="9" t="s">
        <v>450</v>
      </c>
      <c r="E862" s="5" t="s">
        <v>67</v>
      </c>
      <c r="F862" s="5" t="s">
        <v>29</v>
      </c>
      <c r="G862" s="5" t="s">
        <v>41</v>
      </c>
      <c r="H862" s="5">
        <v>100</v>
      </c>
      <c r="I862" s="7">
        <v>23520</v>
      </c>
      <c r="J862" s="9">
        <v>0</v>
      </c>
      <c r="K862" s="9">
        <v>0</v>
      </c>
      <c r="L862" s="9" t="s">
        <v>90</v>
      </c>
      <c r="M862" s="15">
        <f t="shared" si="19"/>
        <v>2352000</v>
      </c>
      <c r="N862" s="19">
        <v>2000</v>
      </c>
    </row>
    <row r="863" spans="1:14" x14ac:dyDescent="0.45">
      <c r="A863" s="4">
        <v>46098</v>
      </c>
      <c r="B863" s="4">
        <v>46100</v>
      </c>
      <c r="C863" s="5">
        <v>2556</v>
      </c>
      <c r="D863" s="9" t="s">
        <v>435</v>
      </c>
      <c r="E863" s="5" t="s">
        <v>67</v>
      </c>
      <c r="F863" s="5" t="s">
        <v>29</v>
      </c>
      <c r="G863" s="5" t="s">
        <v>41</v>
      </c>
      <c r="H863" s="5">
        <v>50</v>
      </c>
      <c r="I863" s="7">
        <v>2048</v>
      </c>
      <c r="J863" s="9">
        <v>0</v>
      </c>
      <c r="K863" s="9">
        <v>0</v>
      </c>
      <c r="L863" s="9" t="s">
        <v>90</v>
      </c>
      <c r="M863" s="15">
        <f t="shared" si="19"/>
        <v>102400</v>
      </c>
      <c r="N863" s="19">
        <v>550</v>
      </c>
    </row>
    <row r="864" spans="1:14" x14ac:dyDescent="0.45">
      <c r="A864" s="4">
        <v>46098</v>
      </c>
      <c r="B864" s="4">
        <v>46100</v>
      </c>
      <c r="C864" s="5" t="s">
        <v>446</v>
      </c>
      <c r="D864" s="9" t="s">
        <v>447</v>
      </c>
      <c r="E864" s="5" t="s">
        <v>67</v>
      </c>
      <c r="F864" s="5" t="s">
        <v>29</v>
      </c>
      <c r="G864" s="5" t="s">
        <v>41</v>
      </c>
      <c r="H864" s="5">
        <v>100</v>
      </c>
      <c r="I864" s="7">
        <v>22535</v>
      </c>
      <c r="J864" s="9">
        <v>0</v>
      </c>
      <c r="K864" s="9">
        <v>0</v>
      </c>
      <c r="L864" s="9" t="s">
        <v>90</v>
      </c>
      <c r="M864" s="15">
        <f t="shared" si="19"/>
        <v>2253500</v>
      </c>
      <c r="N864" s="19">
        <v>10500</v>
      </c>
    </row>
    <row r="865" spans="1:14" x14ac:dyDescent="0.45">
      <c r="A865" s="4">
        <v>46098</v>
      </c>
      <c r="B865" s="4">
        <v>46100</v>
      </c>
      <c r="C865" s="5">
        <v>9101</v>
      </c>
      <c r="D865" s="9" t="s">
        <v>94</v>
      </c>
      <c r="E865" s="5" t="s">
        <v>67</v>
      </c>
      <c r="F865" s="5" t="s">
        <v>29</v>
      </c>
      <c r="G865" s="5" t="s">
        <v>41</v>
      </c>
      <c r="H865" s="5">
        <v>100</v>
      </c>
      <c r="I865" s="7">
        <v>6032</v>
      </c>
      <c r="J865" s="9">
        <v>0</v>
      </c>
      <c r="K865" s="9">
        <v>0</v>
      </c>
      <c r="L865" s="9" t="s">
        <v>90</v>
      </c>
      <c r="M865" s="15">
        <f t="shared" si="19"/>
        <v>603200</v>
      </c>
      <c r="N865" s="19">
        <v>54200</v>
      </c>
    </row>
    <row r="866" spans="1:14" x14ac:dyDescent="0.45">
      <c r="A866" s="4">
        <v>46099</v>
      </c>
      <c r="B866" s="4">
        <v>46104</v>
      </c>
      <c r="C866" s="5" t="s">
        <v>424</v>
      </c>
      <c r="D866" s="9" t="s">
        <v>425</v>
      </c>
      <c r="E866" s="5" t="s">
        <v>67</v>
      </c>
      <c r="F866" s="5" t="s">
        <v>29</v>
      </c>
      <c r="G866" s="5" t="s">
        <v>30</v>
      </c>
      <c r="H866" s="5">
        <v>200</v>
      </c>
      <c r="I866" s="7">
        <v>1222</v>
      </c>
      <c r="J866" s="9">
        <v>0</v>
      </c>
      <c r="K866" s="9">
        <v>0</v>
      </c>
      <c r="L866" s="9" t="s">
        <v>31</v>
      </c>
      <c r="M866" s="15">
        <f t="shared" si="19"/>
        <v>244400</v>
      </c>
      <c r="N866" s="19">
        <v>0</v>
      </c>
    </row>
    <row r="867" spans="1:14" x14ac:dyDescent="0.45">
      <c r="A867" s="4">
        <v>46099</v>
      </c>
      <c r="B867" s="4">
        <v>46104</v>
      </c>
      <c r="C867" s="5">
        <v>6232</v>
      </c>
      <c r="D867" s="9" t="s">
        <v>452</v>
      </c>
      <c r="E867" s="5" t="s">
        <v>67</v>
      </c>
      <c r="F867" s="5" t="s">
        <v>29</v>
      </c>
      <c r="G867" s="5" t="s">
        <v>41</v>
      </c>
      <c r="H867" s="5">
        <v>100</v>
      </c>
      <c r="I867" s="7">
        <v>1657</v>
      </c>
      <c r="J867" s="9">
        <v>0</v>
      </c>
      <c r="K867" s="9">
        <v>0</v>
      </c>
      <c r="L867" s="9" t="s">
        <v>90</v>
      </c>
      <c r="M867" s="15">
        <f t="shared" si="19"/>
        <v>165700</v>
      </c>
      <c r="N867" s="19">
        <v>-4800</v>
      </c>
    </row>
    <row r="868" spans="1:14" x14ac:dyDescent="0.45">
      <c r="A868" s="4">
        <v>46099</v>
      </c>
      <c r="B868" s="4">
        <v>46104</v>
      </c>
      <c r="C868" s="5">
        <v>7003</v>
      </c>
      <c r="D868" s="9" t="s">
        <v>444</v>
      </c>
      <c r="E868" s="5" t="s">
        <v>67</v>
      </c>
      <c r="F868" s="5" t="s">
        <v>29</v>
      </c>
      <c r="G868" s="5" t="s">
        <v>30</v>
      </c>
      <c r="H868" s="5">
        <v>100</v>
      </c>
      <c r="I868" s="7">
        <v>6714</v>
      </c>
      <c r="J868" s="9">
        <v>0</v>
      </c>
      <c r="K868" s="9">
        <v>0</v>
      </c>
      <c r="L868" s="9" t="s">
        <v>31</v>
      </c>
      <c r="M868" s="15">
        <f t="shared" si="19"/>
        <v>671400</v>
      </c>
      <c r="N868" s="19">
        <v>0</v>
      </c>
    </row>
    <row r="869" spans="1:14" x14ac:dyDescent="0.45">
      <c r="A869" s="4">
        <v>46099</v>
      </c>
      <c r="B869" s="4">
        <v>46104</v>
      </c>
      <c r="C869" s="5">
        <v>8766</v>
      </c>
      <c r="D869" s="9" t="s">
        <v>44</v>
      </c>
      <c r="E869" s="5" t="s">
        <v>67</v>
      </c>
      <c r="F869" s="5" t="s">
        <v>29</v>
      </c>
      <c r="G869" s="5" t="s">
        <v>30</v>
      </c>
      <c r="H869" s="5">
        <v>100</v>
      </c>
      <c r="I869" s="7">
        <v>6067</v>
      </c>
      <c r="J869" s="9">
        <v>0</v>
      </c>
      <c r="K869" s="9">
        <v>0</v>
      </c>
      <c r="L869" s="9" t="s">
        <v>31</v>
      </c>
      <c r="M869" s="15">
        <f t="shared" si="19"/>
        <v>606700</v>
      </c>
      <c r="N869" s="19">
        <v>0</v>
      </c>
    </row>
    <row r="870" spans="1:14" x14ac:dyDescent="0.45">
      <c r="A870" s="4">
        <v>46106</v>
      </c>
      <c r="B870" s="4">
        <v>46108</v>
      </c>
      <c r="C870" s="5">
        <v>5801</v>
      </c>
      <c r="D870" s="9" t="s">
        <v>445</v>
      </c>
      <c r="E870" s="5" t="s">
        <v>67</v>
      </c>
      <c r="F870" s="5" t="s">
        <v>29</v>
      </c>
      <c r="G870" s="5" t="s">
        <v>41</v>
      </c>
      <c r="H870" s="5">
        <v>100</v>
      </c>
      <c r="I870" s="7">
        <v>30680</v>
      </c>
      <c r="J870" s="9">
        <v>0</v>
      </c>
      <c r="K870" s="9">
        <v>0</v>
      </c>
      <c r="L870" s="9" t="s">
        <v>90</v>
      </c>
      <c r="M870" s="15">
        <f t="shared" si="19"/>
        <v>3068000</v>
      </c>
      <c r="N870" s="19">
        <v>10000</v>
      </c>
    </row>
    <row r="871" spans="1:14" x14ac:dyDescent="0.45">
      <c r="A871" s="4">
        <v>46108</v>
      </c>
      <c r="B871" s="4">
        <v>46113</v>
      </c>
      <c r="C871" s="5">
        <v>7012</v>
      </c>
      <c r="D871" s="9" t="s">
        <v>69</v>
      </c>
      <c r="E871" s="5" t="s">
        <v>67</v>
      </c>
      <c r="F871" s="5"/>
      <c r="G871" s="5" t="s">
        <v>125</v>
      </c>
      <c r="H871" s="5">
        <v>400</v>
      </c>
      <c r="I871" s="72">
        <v>3693</v>
      </c>
      <c r="J871" s="9">
        <v>0</v>
      </c>
      <c r="K871" s="9">
        <v>0</v>
      </c>
      <c r="L871" s="9" t="s">
        <v>31</v>
      </c>
      <c r="M871" s="15">
        <v>0</v>
      </c>
      <c r="N871" s="19">
        <v>0</v>
      </c>
    </row>
    <row r="872" spans="1:14" x14ac:dyDescent="0.45">
      <c r="A872" s="4">
        <v>46108</v>
      </c>
      <c r="B872" s="4">
        <v>46113</v>
      </c>
      <c r="C872" s="5">
        <v>8136</v>
      </c>
      <c r="D872" s="9" t="s">
        <v>342</v>
      </c>
      <c r="E872" s="5" t="s">
        <v>67</v>
      </c>
      <c r="F872" s="5"/>
      <c r="G872" s="5" t="s">
        <v>125</v>
      </c>
      <c r="H872" s="5">
        <v>400</v>
      </c>
      <c r="I872" s="72">
        <v>1462.2</v>
      </c>
      <c r="J872" s="9">
        <v>0</v>
      </c>
      <c r="K872" s="9">
        <v>0</v>
      </c>
      <c r="L872" s="9" t="s">
        <v>31</v>
      </c>
      <c r="M872" s="15">
        <v>0</v>
      </c>
      <c r="N872" s="19">
        <v>0</v>
      </c>
    </row>
  </sheetData>
  <autoFilter ref="A1:N852" xr:uid="{00000000-0009-0000-0000-000002000000}">
    <sortState xmlns:xlrd2="http://schemas.microsoft.com/office/spreadsheetml/2017/richdata2" ref="A2:N562">
      <sortCondition ref="A1:A539"/>
    </sortState>
  </autoFilter>
  <phoneticPr fontId="18"/>
  <pageMargins left="0.7" right="0.7" top="0.75" bottom="0.75" header="0.3" footer="0.3"/>
  <pageSetup paperSize="9" scale="13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79998168889431442"/>
  </sheetPr>
  <dimension ref="A1:M88"/>
  <sheetViews>
    <sheetView zoomScale="90" zoomScaleNormal="90" workbookViewId="0">
      <pane ySplit="1" topLeftCell="A69" activePane="bottomLeft" state="frozen"/>
      <selection activeCell="F1" sqref="F1"/>
      <selection pane="bottomLeft" activeCell="C73" sqref="C73"/>
    </sheetView>
  </sheetViews>
  <sheetFormatPr defaultRowHeight="18" x14ac:dyDescent="0.45"/>
  <cols>
    <col min="1" max="1" width="11.19921875" style="1" bestFit="1" customWidth="1"/>
    <col min="2" max="2" width="9.296875" style="2" bestFit="1" customWidth="1"/>
    <col min="3" max="3" width="12.3984375" style="2" bestFit="1" customWidth="1"/>
    <col min="4" max="4" width="15.09765625" style="2" bestFit="1" customWidth="1"/>
    <col min="5" max="5" width="27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s="2" customFormat="1" x14ac:dyDescent="0.45">
      <c r="A1" s="16" t="s">
        <v>46</v>
      </c>
      <c r="B1" s="16" t="s">
        <v>47</v>
      </c>
      <c r="C1" s="16" t="s">
        <v>4</v>
      </c>
      <c r="D1" s="16" t="s">
        <v>2</v>
      </c>
      <c r="E1" s="16" t="s">
        <v>48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68</v>
      </c>
      <c r="D2" s="5">
        <v>3395</v>
      </c>
      <c r="E2" s="9" t="s">
        <v>77</v>
      </c>
      <c r="F2" s="19">
        <v>22</v>
      </c>
      <c r="G2" s="5">
        <v>100</v>
      </c>
      <c r="H2" s="19">
        <f t="shared" ref="H2:H16" si="0">F2*G2</f>
        <v>2200</v>
      </c>
      <c r="I2" s="19">
        <v>446</v>
      </c>
      <c r="J2" s="19">
        <f t="shared" ref="J2:J16" si="1">H2-I2</f>
        <v>1754</v>
      </c>
      <c r="K2" s="19">
        <f t="shared" ref="K2:K16" si="2">J2</f>
        <v>1754</v>
      </c>
    </row>
    <row r="3" spans="1:11" x14ac:dyDescent="0.45">
      <c r="A3" s="4">
        <v>44377</v>
      </c>
      <c r="B3" s="5" t="s">
        <v>50</v>
      </c>
      <c r="C3" s="5" t="s">
        <v>68</v>
      </c>
      <c r="D3" s="5">
        <v>2201</v>
      </c>
      <c r="E3" s="9" t="s">
        <v>76</v>
      </c>
      <c r="F3" s="19">
        <v>80</v>
      </c>
      <c r="G3" s="5">
        <v>100</v>
      </c>
      <c r="H3" s="19">
        <f t="shared" si="0"/>
        <v>8000</v>
      </c>
      <c r="I3" s="19">
        <v>1625</v>
      </c>
      <c r="J3" s="19">
        <f t="shared" si="1"/>
        <v>6375</v>
      </c>
      <c r="K3" s="19">
        <f t="shared" si="2"/>
        <v>6375</v>
      </c>
    </row>
    <row r="4" spans="1:11" x14ac:dyDescent="0.45">
      <c r="A4" s="4">
        <v>44377</v>
      </c>
      <c r="B4" s="5" t="s">
        <v>50</v>
      </c>
      <c r="C4" s="5" t="s">
        <v>68</v>
      </c>
      <c r="D4" s="5">
        <v>7011</v>
      </c>
      <c r="E4" s="9" t="s">
        <v>34</v>
      </c>
      <c r="F4" s="19">
        <v>75</v>
      </c>
      <c r="G4" s="5">
        <v>100</v>
      </c>
      <c r="H4" s="19">
        <f t="shared" si="0"/>
        <v>7500</v>
      </c>
      <c r="I4" s="19">
        <v>1523</v>
      </c>
      <c r="J4" s="19">
        <f t="shared" si="1"/>
        <v>5977</v>
      </c>
      <c r="K4" s="19">
        <f t="shared" si="2"/>
        <v>5977</v>
      </c>
    </row>
    <row r="5" spans="1:11" x14ac:dyDescent="0.45">
      <c r="A5" s="4">
        <v>44442</v>
      </c>
      <c r="B5" s="5" t="s">
        <v>50</v>
      </c>
      <c r="C5" s="5" t="s">
        <v>68</v>
      </c>
      <c r="D5" s="5">
        <v>4912</v>
      </c>
      <c r="E5" s="9" t="s">
        <v>75</v>
      </c>
      <c r="F5" s="19">
        <v>12</v>
      </c>
      <c r="G5" s="5">
        <v>100</v>
      </c>
      <c r="H5" s="19">
        <f t="shared" si="0"/>
        <v>1200</v>
      </c>
      <c r="I5" s="19">
        <v>243</v>
      </c>
      <c r="J5" s="19">
        <f t="shared" si="1"/>
        <v>957</v>
      </c>
      <c r="K5" s="19">
        <f t="shared" si="2"/>
        <v>957</v>
      </c>
    </row>
    <row r="6" spans="1:11" x14ac:dyDescent="0.45">
      <c r="A6" s="4">
        <v>44532</v>
      </c>
      <c r="B6" s="5" t="s">
        <v>50</v>
      </c>
      <c r="C6" s="5" t="s">
        <v>68</v>
      </c>
      <c r="D6" s="5">
        <v>9810</v>
      </c>
      <c r="E6" s="9" t="s">
        <v>74</v>
      </c>
      <c r="F6" s="19">
        <v>160</v>
      </c>
      <c r="G6" s="5">
        <v>100</v>
      </c>
      <c r="H6" s="19">
        <f t="shared" si="0"/>
        <v>16000</v>
      </c>
      <c r="I6" s="19">
        <v>3250</v>
      </c>
      <c r="J6" s="19">
        <f t="shared" si="1"/>
        <v>12750</v>
      </c>
      <c r="K6" s="19">
        <f t="shared" si="2"/>
        <v>12750</v>
      </c>
    </row>
    <row r="7" spans="1:11" x14ac:dyDescent="0.45">
      <c r="A7" s="4">
        <v>44537</v>
      </c>
      <c r="B7" s="5" t="s">
        <v>50</v>
      </c>
      <c r="C7" s="5" t="s">
        <v>68</v>
      </c>
      <c r="D7" s="5">
        <v>2269</v>
      </c>
      <c r="E7" s="9" t="s">
        <v>73</v>
      </c>
      <c r="F7" s="19">
        <v>80</v>
      </c>
      <c r="G7" s="5">
        <v>100</v>
      </c>
      <c r="H7" s="19">
        <f t="shared" si="0"/>
        <v>8000</v>
      </c>
      <c r="I7" s="19">
        <v>1625</v>
      </c>
      <c r="J7" s="19">
        <f t="shared" si="1"/>
        <v>6375</v>
      </c>
      <c r="K7" s="19">
        <f t="shared" si="2"/>
        <v>6375</v>
      </c>
    </row>
    <row r="8" spans="1:11" x14ac:dyDescent="0.45">
      <c r="A8" s="4">
        <v>44734</v>
      </c>
      <c r="B8" s="5" t="s">
        <v>50</v>
      </c>
      <c r="C8" s="5" t="s">
        <v>68</v>
      </c>
      <c r="D8" s="5">
        <v>9104</v>
      </c>
      <c r="E8" s="9" t="s">
        <v>168</v>
      </c>
      <c r="F8" s="19">
        <v>900</v>
      </c>
      <c r="G8" s="5">
        <v>100</v>
      </c>
      <c r="H8" s="19">
        <f t="shared" si="0"/>
        <v>90000</v>
      </c>
      <c r="I8" s="19">
        <v>18283</v>
      </c>
      <c r="J8" s="19">
        <f t="shared" si="1"/>
        <v>71717</v>
      </c>
      <c r="K8" s="19">
        <f t="shared" si="2"/>
        <v>71717</v>
      </c>
    </row>
    <row r="9" spans="1:11" x14ac:dyDescent="0.45">
      <c r="A9" s="4">
        <v>44735</v>
      </c>
      <c r="B9" s="5" t="s">
        <v>50</v>
      </c>
      <c r="C9" s="5" t="s">
        <v>68</v>
      </c>
      <c r="D9" s="5">
        <v>9020</v>
      </c>
      <c r="E9" s="9" t="s">
        <v>123</v>
      </c>
      <c r="F9" s="19">
        <v>50</v>
      </c>
      <c r="G9" s="5">
        <v>100</v>
      </c>
      <c r="H9" s="19">
        <f t="shared" si="0"/>
        <v>5000</v>
      </c>
      <c r="I9" s="19">
        <v>1015</v>
      </c>
      <c r="J9" s="19">
        <f t="shared" si="1"/>
        <v>3985</v>
      </c>
      <c r="K9" s="19">
        <f t="shared" si="2"/>
        <v>3985</v>
      </c>
    </row>
    <row r="10" spans="1:11" x14ac:dyDescent="0.45">
      <c r="A10" s="4">
        <v>44735</v>
      </c>
      <c r="B10" s="5" t="s">
        <v>50</v>
      </c>
      <c r="C10" s="5" t="s">
        <v>68</v>
      </c>
      <c r="D10" s="5">
        <v>9101</v>
      </c>
      <c r="E10" s="9" t="s">
        <v>169</v>
      </c>
      <c r="F10" s="19">
        <v>1250</v>
      </c>
      <c r="G10" s="5">
        <v>100</v>
      </c>
      <c r="H10" s="19">
        <f t="shared" si="0"/>
        <v>125000</v>
      </c>
      <c r="I10" s="19">
        <v>25393</v>
      </c>
      <c r="J10" s="19">
        <f t="shared" si="1"/>
        <v>99607</v>
      </c>
      <c r="K10" s="19">
        <f t="shared" si="2"/>
        <v>99607</v>
      </c>
    </row>
    <row r="11" spans="1:11" x14ac:dyDescent="0.45">
      <c r="A11" s="4">
        <v>44805</v>
      </c>
      <c r="B11" s="5" t="s">
        <v>50</v>
      </c>
      <c r="C11" s="5" t="s">
        <v>68</v>
      </c>
      <c r="D11" s="5">
        <v>4452</v>
      </c>
      <c r="E11" s="9" t="s">
        <v>167</v>
      </c>
      <c r="F11" s="19">
        <v>74</v>
      </c>
      <c r="G11" s="5">
        <v>100</v>
      </c>
      <c r="H11" s="19">
        <f t="shared" si="0"/>
        <v>7400</v>
      </c>
      <c r="I11" s="19">
        <v>1503</v>
      </c>
      <c r="J11" s="19">
        <f t="shared" si="1"/>
        <v>5897</v>
      </c>
      <c r="K11" s="19">
        <f t="shared" si="2"/>
        <v>5897</v>
      </c>
    </row>
    <row r="12" spans="1:11" x14ac:dyDescent="0.45">
      <c r="A12" s="4">
        <v>44896</v>
      </c>
      <c r="B12" s="5" t="s">
        <v>50</v>
      </c>
      <c r="C12" s="5" t="s">
        <v>68</v>
      </c>
      <c r="D12" s="5">
        <v>8058</v>
      </c>
      <c r="E12" s="9" t="s">
        <v>72</v>
      </c>
      <c r="F12" s="19">
        <v>77</v>
      </c>
      <c r="G12" s="5">
        <v>100</v>
      </c>
      <c r="H12" s="19">
        <f t="shared" si="0"/>
        <v>7700</v>
      </c>
      <c r="I12" s="19">
        <v>1564</v>
      </c>
      <c r="J12" s="19">
        <f t="shared" si="1"/>
        <v>6136</v>
      </c>
      <c r="K12" s="19">
        <f t="shared" si="2"/>
        <v>6136</v>
      </c>
    </row>
    <row r="13" spans="1:11" x14ac:dyDescent="0.45">
      <c r="A13" s="4">
        <v>44900</v>
      </c>
      <c r="B13" s="5" t="s">
        <v>50</v>
      </c>
      <c r="C13" s="5" t="s">
        <v>68</v>
      </c>
      <c r="D13" s="5">
        <v>7012</v>
      </c>
      <c r="E13" s="9" t="s">
        <v>69</v>
      </c>
      <c r="F13" s="19">
        <v>30</v>
      </c>
      <c r="G13" s="5">
        <v>100</v>
      </c>
      <c r="H13" s="19">
        <f t="shared" si="0"/>
        <v>3000</v>
      </c>
      <c r="I13" s="19">
        <v>609</v>
      </c>
      <c r="J13" s="19">
        <f t="shared" si="1"/>
        <v>2391</v>
      </c>
      <c r="K13" s="19">
        <f t="shared" si="2"/>
        <v>2391</v>
      </c>
    </row>
    <row r="14" spans="1:11" x14ac:dyDescent="0.45">
      <c r="A14" s="4">
        <v>44900</v>
      </c>
      <c r="B14" s="5" t="s">
        <v>50</v>
      </c>
      <c r="C14" s="5" t="s">
        <v>68</v>
      </c>
      <c r="D14" s="5">
        <v>9308</v>
      </c>
      <c r="E14" s="9" t="s">
        <v>70</v>
      </c>
      <c r="F14" s="19">
        <v>6</v>
      </c>
      <c r="G14" s="5">
        <v>100</v>
      </c>
      <c r="H14" s="19">
        <f t="shared" si="0"/>
        <v>600</v>
      </c>
      <c r="I14" s="19">
        <v>121</v>
      </c>
      <c r="J14" s="19">
        <f t="shared" si="1"/>
        <v>479</v>
      </c>
      <c r="K14" s="19">
        <f t="shared" si="2"/>
        <v>479</v>
      </c>
    </row>
    <row r="15" spans="1:11" x14ac:dyDescent="0.45">
      <c r="A15" s="4">
        <v>44900</v>
      </c>
      <c r="B15" s="5" t="s">
        <v>50</v>
      </c>
      <c r="C15" s="5" t="s">
        <v>68</v>
      </c>
      <c r="D15" s="5">
        <v>9433</v>
      </c>
      <c r="E15" s="9" t="s">
        <v>71</v>
      </c>
      <c r="F15" s="19">
        <v>65</v>
      </c>
      <c r="G15" s="5">
        <v>100</v>
      </c>
      <c r="H15" s="19">
        <f t="shared" si="0"/>
        <v>6500</v>
      </c>
      <c r="I15" s="19">
        <v>1320</v>
      </c>
      <c r="J15" s="19">
        <f t="shared" si="1"/>
        <v>5180</v>
      </c>
      <c r="K15" s="19">
        <f t="shared" si="2"/>
        <v>5180</v>
      </c>
    </row>
    <row r="16" spans="1:11" x14ac:dyDescent="0.45">
      <c r="A16" s="4">
        <v>45012</v>
      </c>
      <c r="B16" s="5" t="s">
        <v>50</v>
      </c>
      <c r="C16" s="5" t="s">
        <v>68</v>
      </c>
      <c r="D16" s="5">
        <v>4452</v>
      </c>
      <c r="E16" s="9" t="s">
        <v>167</v>
      </c>
      <c r="F16" s="19">
        <v>74</v>
      </c>
      <c r="G16" s="5">
        <v>100</v>
      </c>
      <c r="H16" s="19">
        <f t="shared" si="0"/>
        <v>7400</v>
      </c>
      <c r="I16" s="19">
        <v>1503</v>
      </c>
      <c r="J16" s="19">
        <f t="shared" si="1"/>
        <v>5897</v>
      </c>
      <c r="K16" s="19">
        <f t="shared" si="2"/>
        <v>5897</v>
      </c>
    </row>
    <row r="17" spans="1:11" x14ac:dyDescent="0.45">
      <c r="A17" s="4">
        <v>45014</v>
      </c>
      <c r="B17" s="5" t="s">
        <v>50</v>
      </c>
      <c r="C17" s="5" t="s">
        <v>68</v>
      </c>
      <c r="D17" s="5">
        <v>5108</v>
      </c>
      <c r="E17" s="9" t="s">
        <v>186</v>
      </c>
      <c r="F17" s="21">
        <v>90</v>
      </c>
      <c r="G17" s="5">
        <v>100</v>
      </c>
      <c r="H17" s="19">
        <f t="shared" ref="H17:H53" si="3">F17*G17</f>
        <v>9000</v>
      </c>
      <c r="I17" s="19">
        <v>1828</v>
      </c>
      <c r="J17" s="19">
        <f t="shared" ref="J17:J38" si="4">H17-I17</f>
        <v>7172</v>
      </c>
      <c r="K17" s="19">
        <f t="shared" ref="K17:K38" si="5">J17</f>
        <v>7172</v>
      </c>
    </row>
    <row r="18" spans="1:11" x14ac:dyDescent="0.45">
      <c r="A18" s="4">
        <v>45072</v>
      </c>
      <c r="B18" s="5" t="s">
        <v>50</v>
      </c>
      <c r="C18" s="5" t="s">
        <v>68</v>
      </c>
      <c r="D18" s="5">
        <v>9602</v>
      </c>
      <c r="E18" s="9" t="s">
        <v>198</v>
      </c>
      <c r="F18" s="21">
        <v>40</v>
      </c>
      <c r="G18" s="5">
        <v>100</v>
      </c>
      <c r="H18" s="19">
        <f t="shared" si="3"/>
        <v>4000</v>
      </c>
      <c r="I18" s="19">
        <v>812</v>
      </c>
      <c r="J18" s="19">
        <f t="shared" si="4"/>
        <v>3188</v>
      </c>
      <c r="K18" s="19">
        <f t="shared" si="5"/>
        <v>3188</v>
      </c>
    </row>
    <row r="19" spans="1:11" x14ac:dyDescent="0.45">
      <c r="A19" s="4">
        <v>45078</v>
      </c>
      <c r="B19" s="5" t="s">
        <v>50</v>
      </c>
      <c r="C19" s="5" t="s">
        <v>68</v>
      </c>
      <c r="D19" s="5">
        <v>4503</v>
      </c>
      <c r="E19" s="9" t="s">
        <v>179</v>
      </c>
      <c r="F19" s="21">
        <v>30</v>
      </c>
      <c r="G19" s="5">
        <v>100</v>
      </c>
      <c r="H19" s="19">
        <f t="shared" si="3"/>
        <v>3000</v>
      </c>
      <c r="I19" s="19">
        <v>609</v>
      </c>
      <c r="J19" s="19">
        <f t="shared" si="4"/>
        <v>2391</v>
      </c>
      <c r="K19" s="19">
        <f t="shared" si="5"/>
        <v>2391</v>
      </c>
    </row>
    <row r="20" spans="1:11" x14ac:dyDescent="0.45">
      <c r="A20" s="4">
        <v>45078</v>
      </c>
      <c r="B20" s="5" t="s">
        <v>50</v>
      </c>
      <c r="C20" s="5" t="s">
        <v>68</v>
      </c>
      <c r="D20" s="5">
        <v>4958</v>
      </c>
      <c r="E20" s="9" t="s">
        <v>185</v>
      </c>
      <c r="F20" s="21">
        <v>30</v>
      </c>
      <c r="G20" s="5">
        <v>100</v>
      </c>
      <c r="H20" s="19">
        <f t="shared" si="3"/>
        <v>3000</v>
      </c>
      <c r="I20" s="19">
        <v>609</v>
      </c>
      <c r="J20" s="19">
        <f t="shared" si="4"/>
        <v>2391</v>
      </c>
      <c r="K20" s="19">
        <f t="shared" si="5"/>
        <v>2391</v>
      </c>
    </row>
    <row r="21" spans="1:11" x14ac:dyDescent="0.45">
      <c r="A21" s="4">
        <v>45089</v>
      </c>
      <c r="B21" s="5" t="s">
        <v>50</v>
      </c>
      <c r="C21" s="5" t="s">
        <v>68</v>
      </c>
      <c r="D21" s="5">
        <v>7947</v>
      </c>
      <c r="E21" s="9" t="s">
        <v>201</v>
      </c>
      <c r="F21" s="21">
        <v>25.5</v>
      </c>
      <c r="G21" s="5">
        <v>200</v>
      </c>
      <c r="H21" s="19">
        <f t="shared" si="3"/>
        <v>5100</v>
      </c>
      <c r="I21" s="19">
        <v>1036</v>
      </c>
      <c r="J21" s="19">
        <f t="shared" si="4"/>
        <v>4064</v>
      </c>
      <c r="K21" s="19">
        <f t="shared" si="5"/>
        <v>4064</v>
      </c>
    </row>
    <row r="22" spans="1:11" x14ac:dyDescent="0.45">
      <c r="A22" s="4">
        <v>45099</v>
      </c>
      <c r="B22" s="5" t="s">
        <v>50</v>
      </c>
      <c r="C22" s="5" t="s">
        <v>68</v>
      </c>
      <c r="D22" s="5">
        <v>9433</v>
      </c>
      <c r="E22" s="9" t="s">
        <v>71</v>
      </c>
      <c r="F22" s="21">
        <v>70</v>
      </c>
      <c r="G22" s="5">
        <v>100</v>
      </c>
      <c r="H22" s="19">
        <f t="shared" si="3"/>
        <v>7000</v>
      </c>
      <c r="I22" s="19">
        <v>1422</v>
      </c>
      <c r="J22" s="19">
        <f t="shared" si="4"/>
        <v>5578</v>
      </c>
      <c r="K22" s="19">
        <f t="shared" si="5"/>
        <v>5578</v>
      </c>
    </row>
    <row r="23" spans="1:11" x14ac:dyDescent="0.45">
      <c r="A23" s="4">
        <v>45103</v>
      </c>
      <c r="B23" s="5" t="s">
        <v>50</v>
      </c>
      <c r="C23" s="5" t="s">
        <v>68</v>
      </c>
      <c r="D23" s="5">
        <v>7974</v>
      </c>
      <c r="E23" s="9" t="s">
        <v>174</v>
      </c>
      <c r="F23" s="21">
        <v>123</v>
      </c>
      <c r="G23" s="5">
        <v>100</v>
      </c>
      <c r="H23" s="19">
        <f t="shared" si="3"/>
        <v>12300</v>
      </c>
      <c r="I23" s="19">
        <v>2498</v>
      </c>
      <c r="J23" s="19">
        <f t="shared" si="4"/>
        <v>9802</v>
      </c>
      <c r="K23" s="19">
        <f t="shared" si="5"/>
        <v>9802</v>
      </c>
    </row>
    <row r="24" spans="1:11" x14ac:dyDescent="0.45">
      <c r="A24" s="4">
        <v>45103</v>
      </c>
      <c r="B24" s="5" t="s">
        <v>50</v>
      </c>
      <c r="C24" s="5" t="s">
        <v>68</v>
      </c>
      <c r="D24" s="5">
        <v>5401</v>
      </c>
      <c r="E24" s="9" t="s">
        <v>180</v>
      </c>
      <c r="F24" s="21">
        <v>90</v>
      </c>
      <c r="G24" s="5">
        <v>100</v>
      </c>
      <c r="H24" s="19">
        <f t="shared" si="3"/>
        <v>9000</v>
      </c>
      <c r="I24" s="19">
        <v>1828</v>
      </c>
      <c r="J24" s="19">
        <f t="shared" si="4"/>
        <v>7172</v>
      </c>
      <c r="K24" s="19">
        <f t="shared" si="5"/>
        <v>7172</v>
      </c>
    </row>
    <row r="25" spans="1:11" x14ac:dyDescent="0.45">
      <c r="A25" s="4">
        <v>45105</v>
      </c>
      <c r="B25" s="5" t="s">
        <v>50</v>
      </c>
      <c r="C25" s="5" t="s">
        <v>68</v>
      </c>
      <c r="D25" s="5">
        <v>6971</v>
      </c>
      <c r="E25" s="9" t="s">
        <v>124</v>
      </c>
      <c r="F25" s="21">
        <v>100</v>
      </c>
      <c r="G25" s="5">
        <v>100</v>
      </c>
      <c r="H25" s="19">
        <f t="shared" si="3"/>
        <v>10000</v>
      </c>
      <c r="I25" s="19">
        <v>2031</v>
      </c>
      <c r="J25" s="19">
        <f t="shared" si="4"/>
        <v>7969</v>
      </c>
      <c r="K25" s="19">
        <f t="shared" si="5"/>
        <v>7969</v>
      </c>
    </row>
    <row r="26" spans="1:11" x14ac:dyDescent="0.45">
      <c r="A26" s="4">
        <v>45106</v>
      </c>
      <c r="B26" s="5" t="s">
        <v>50</v>
      </c>
      <c r="C26" s="5" t="s">
        <v>68</v>
      </c>
      <c r="D26" s="5">
        <v>7012</v>
      </c>
      <c r="E26" s="9" t="s">
        <v>69</v>
      </c>
      <c r="F26" s="21">
        <v>60</v>
      </c>
      <c r="G26" s="5">
        <v>100</v>
      </c>
      <c r="H26" s="19">
        <f t="shared" si="3"/>
        <v>6000</v>
      </c>
      <c r="I26" s="19">
        <v>1218</v>
      </c>
      <c r="J26" s="19">
        <f t="shared" si="4"/>
        <v>4782</v>
      </c>
      <c r="K26" s="19">
        <f t="shared" si="5"/>
        <v>4782</v>
      </c>
    </row>
    <row r="27" spans="1:11" x14ac:dyDescent="0.45">
      <c r="A27" s="4">
        <v>45107</v>
      </c>
      <c r="B27" s="5" t="s">
        <v>50</v>
      </c>
      <c r="C27" s="5" t="s">
        <v>68</v>
      </c>
      <c r="D27" s="5">
        <v>8584</v>
      </c>
      <c r="E27" s="9" t="s">
        <v>184</v>
      </c>
      <c r="F27" s="21">
        <v>95</v>
      </c>
      <c r="G27" s="5">
        <v>100</v>
      </c>
      <c r="H27" s="19">
        <f t="shared" si="3"/>
        <v>9500</v>
      </c>
      <c r="I27" s="19">
        <v>1929</v>
      </c>
      <c r="J27" s="19">
        <f t="shared" si="4"/>
        <v>7571</v>
      </c>
      <c r="K27" s="19">
        <f t="shared" si="5"/>
        <v>7571</v>
      </c>
    </row>
    <row r="28" spans="1:11" x14ac:dyDescent="0.45">
      <c r="A28" s="4">
        <v>45107</v>
      </c>
      <c r="B28" s="5" t="s">
        <v>50</v>
      </c>
      <c r="C28" s="5" t="s">
        <v>68</v>
      </c>
      <c r="D28" s="5">
        <v>6890</v>
      </c>
      <c r="E28" s="9" t="s">
        <v>187</v>
      </c>
      <c r="F28" s="21">
        <v>55</v>
      </c>
      <c r="G28" s="5">
        <v>100</v>
      </c>
      <c r="H28" s="19">
        <f t="shared" si="3"/>
        <v>5500</v>
      </c>
      <c r="I28" s="19">
        <v>1117</v>
      </c>
      <c r="J28" s="19">
        <f t="shared" si="4"/>
        <v>4383</v>
      </c>
      <c r="K28" s="19">
        <f t="shared" si="5"/>
        <v>4383</v>
      </c>
    </row>
    <row r="29" spans="1:11" x14ac:dyDescent="0.45">
      <c r="A29" s="4">
        <v>45107</v>
      </c>
      <c r="B29" s="5" t="s">
        <v>50</v>
      </c>
      <c r="C29" s="5" t="s">
        <v>68</v>
      </c>
      <c r="D29" s="5">
        <v>4041</v>
      </c>
      <c r="E29" s="9" t="s">
        <v>181</v>
      </c>
      <c r="F29" s="21">
        <v>150</v>
      </c>
      <c r="G29" s="5">
        <v>100</v>
      </c>
      <c r="H29" s="19">
        <f t="shared" si="3"/>
        <v>15000</v>
      </c>
      <c r="I29" s="19">
        <v>3047</v>
      </c>
      <c r="J29" s="19">
        <f t="shared" si="4"/>
        <v>11953</v>
      </c>
      <c r="K29" s="19">
        <f t="shared" si="5"/>
        <v>11953</v>
      </c>
    </row>
    <row r="30" spans="1:11" x14ac:dyDescent="0.45">
      <c r="A30" s="4">
        <v>45170</v>
      </c>
      <c r="B30" s="5" t="s">
        <v>50</v>
      </c>
      <c r="C30" s="5" t="s">
        <v>68</v>
      </c>
      <c r="D30" s="5">
        <v>4452</v>
      </c>
      <c r="E30" s="9" t="s">
        <v>167</v>
      </c>
      <c r="F30" s="19">
        <v>75</v>
      </c>
      <c r="G30" s="5">
        <v>100</v>
      </c>
      <c r="H30" s="19">
        <f t="shared" si="3"/>
        <v>7500</v>
      </c>
      <c r="I30" s="19">
        <v>1523</v>
      </c>
      <c r="J30" s="19">
        <f t="shared" si="4"/>
        <v>5977</v>
      </c>
      <c r="K30" s="19">
        <f t="shared" si="5"/>
        <v>5977</v>
      </c>
    </row>
    <row r="31" spans="1:11" x14ac:dyDescent="0.45">
      <c r="A31" s="4">
        <v>45181</v>
      </c>
      <c r="B31" s="5" t="s">
        <v>50</v>
      </c>
      <c r="C31" s="5" t="s">
        <v>68</v>
      </c>
      <c r="D31" s="5">
        <v>1911</v>
      </c>
      <c r="E31" s="9" t="s">
        <v>196</v>
      </c>
      <c r="F31" s="21">
        <v>60</v>
      </c>
      <c r="G31" s="5">
        <v>200</v>
      </c>
      <c r="H31" s="19">
        <f t="shared" si="3"/>
        <v>12000</v>
      </c>
      <c r="I31" s="19">
        <v>2437</v>
      </c>
      <c r="J31" s="19">
        <f t="shared" si="4"/>
        <v>9563</v>
      </c>
      <c r="K31" s="19">
        <f t="shared" si="5"/>
        <v>9563</v>
      </c>
    </row>
    <row r="32" spans="1:11" x14ac:dyDescent="0.45">
      <c r="A32" s="4">
        <v>45247</v>
      </c>
      <c r="B32" s="5" t="s">
        <v>50</v>
      </c>
      <c r="C32" s="5" t="s">
        <v>68</v>
      </c>
      <c r="D32" s="5">
        <v>4523</v>
      </c>
      <c r="E32" s="9" t="s">
        <v>223</v>
      </c>
      <c r="F32" s="21">
        <v>80</v>
      </c>
      <c r="G32" s="5">
        <v>100</v>
      </c>
      <c r="H32" s="19">
        <f t="shared" si="3"/>
        <v>8000</v>
      </c>
      <c r="I32" s="19">
        <v>1625</v>
      </c>
      <c r="J32" s="19">
        <f t="shared" si="4"/>
        <v>6375</v>
      </c>
      <c r="K32" s="19">
        <f t="shared" si="5"/>
        <v>6375</v>
      </c>
    </row>
    <row r="33" spans="1:13" x14ac:dyDescent="0.45">
      <c r="A33" s="4">
        <v>45251</v>
      </c>
      <c r="B33" s="5" t="s">
        <v>50</v>
      </c>
      <c r="C33" s="5" t="s">
        <v>68</v>
      </c>
      <c r="D33" s="5">
        <v>4063</v>
      </c>
      <c r="E33" s="9" t="s">
        <v>192</v>
      </c>
      <c r="F33" s="21">
        <v>50</v>
      </c>
      <c r="G33" s="5">
        <v>300</v>
      </c>
      <c r="H33" s="19">
        <f t="shared" si="3"/>
        <v>15000</v>
      </c>
      <c r="I33" s="19">
        <v>3047</v>
      </c>
      <c r="J33" s="19">
        <f t="shared" si="4"/>
        <v>11953</v>
      </c>
      <c r="K33" s="19">
        <f t="shared" si="5"/>
        <v>11953</v>
      </c>
    </row>
    <row r="34" spans="1:13" x14ac:dyDescent="0.45">
      <c r="A34" s="4">
        <v>45252</v>
      </c>
      <c r="B34" s="5" t="s">
        <v>50</v>
      </c>
      <c r="C34" s="5" t="s">
        <v>68</v>
      </c>
      <c r="D34" s="5">
        <v>7947</v>
      </c>
      <c r="E34" s="9" t="s">
        <v>127</v>
      </c>
      <c r="F34" s="21">
        <v>21.5</v>
      </c>
      <c r="G34" s="5">
        <v>200</v>
      </c>
      <c r="H34" s="19">
        <f t="shared" si="3"/>
        <v>4300</v>
      </c>
      <c r="I34" s="19">
        <v>873</v>
      </c>
      <c r="J34" s="19">
        <f t="shared" si="4"/>
        <v>3427</v>
      </c>
      <c r="K34" s="19">
        <f t="shared" si="5"/>
        <v>3427</v>
      </c>
    </row>
    <row r="35" spans="1:13" x14ac:dyDescent="0.45">
      <c r="A35" s="4">
        <v>45265</v>
      </c>
      <c r="B35" s="5" t="s">
        <v>50</v>
      </c>
      <c r="C35" s="5" t="s">
        <v>68</v>
      </c>
      <c r="D35" s="5">
        <v>9433</v>
      </c>
      <c r="E35" s="9" t="s">
        <v>71</v>
      </c>
      <c r="F35" s="21">
        <v>70</v>
      </c>
      <c r="G35" s="5">
        <v>200</v>
      </c>
      <c r="H35" s="19">
        <f t="shared" si="3"/>
        <v>14000</v>
      </c>
      <c r="I35" s="19">
        <v>2844</v>
      </c>
      <c r="J35" s="19">
        <f t="shared" si="4"/>
        <v>11156</v>
      </c>
      <c r="K35" s="19">
        <f t="shared" si="5"/>
        <v>11156</v>
      </c>
    </row>
    <row r="36" spans="1:13" x14ac:dyDescent="0.45">
      <c r="A36" s="4">
        <v>45265</v>
      </c>
      <c r="B36" s="5" t="s">
        <v>50</v>
      </c>
      <c r="C36" s="5" t="s">
        <v>68</v>
      </c>
      <c r="D36" s="5">
        <v>4661</v>
      </c>
      <c r="E36" s="9" t="s">
        <v>220</v>
      </c>
      <c r="F36" s="21">
        <v>5</v>
      </c>
      <c r="G36" s="5">
        <v>100</v>
      </c>
      <c r="H36" s="19">
        <f t="shared" si="3"/>
        <v>500</v>
      </c>
      <c r="I36" s="19">
        <v>101</v>
      </c>
      <c r="J36" s="19">
        <f t="shared" si="4"/>
        <v>399</v>
      </c>
      <c r="K36" s="19">
        <f t="shared" si="5"/>
        <v>399</v>
      </c>
    </row>
    <row r="37" spans="1:13" x14ac:dyDescent="0.45">
      <c r="A37" s="4">
        <v>45376</v>
      </c>
      <c r="B37" s="5" t="s">
        <v>50</v>
      </c>
      <c r="C37" s="5" t="s">
        <v>68</v>
      </c>
      <c r="D37" s="5">
        <v>4452</v>
      </c>
      <c r="E37" s="9" t="s">
        <v>167</v>
      </c>
      <c r="F37" s="21">
        <v>75</v>
      </c>
      <c r="G37" s="5">
        <v>100</v>
      </c>
      <c r="H37" s="19">
        <f t="shared" si="3"/>
        <v>7500</v>
      </c>
      <c r="I37" s="19">
        <v>1523</v>
      </c>
      <c r="J37" s="19">
        <f t="shared" si="4"/>
        <v>5977</v>
      </c>
      <c r="K37" s="19">
        <f t="shared" si="5"/>
        <v>5977</v>
      </c>
      <c r="L37" s="41"/>
      <c r="M37" s="41"/>
    </row>
    <row r="38" spans="1:13" x14ac:dyDescent="0.45">
      <c r="A38" s="4">
        <v>45376</v>
      </c>
      <c r="B38" s="5" t="s">
        <v>50</v>
      </c>
      <c r="C38" s="5" t="s">
        <v>68</v>
      </c>
      <c r="D38" s="5">
        <v>2914</v>
      </c>
      <c r="E38" s="9" t="s">
        <v>107</v>
      </c>
      <c r="F38" s="21">
        <v>100</v>
      </c>
      <c r="G38" s="5">
        <v>100</v>
      </c>
      <c r="H38" s="19">
        <f t="shared" si="3"/>
        <v>10000</v>
      </c>
      <c r="I38" s="19">
        <v>2031</v>
      </c>
      <c r="J38" s="19">
        <f t="shared" si="4"/>
        <v>7969</v>
      </c>
      <c r="K38" s="19">
        <f t="shared" si="5"/>
        <v>7969</v>
      </c>
      <c r="L38" s="26"/>
    </row>
    <row r="39" spans="1:13" x14ac:dyDescent="0.45">
      <c r="A39" s="4">
        <v>45378</v>
      </c>
      <c r="B39" s="5" t="s">
        <v>50</v>
      </c>
      <c r="C39" s="5" t="s">
        <v>68</v>
      </c>
      <c r="D39" s="5">
        <v>5108</v>
      </c>
      <c r="E39" s="9" t="s">
        <v>186</v>
      </c>
      <c r="F39" s="21">
        <v>100</v>
      </c>
      <c r="G39" s="5">
        <v>100</v>
      </c>
      <c r="H39" s="19">
        <f t="shared" si="3"/>
        <v>10000</v>
      </c>
      <c r="I39" s="19">
        <v>2031</v>
      </c>
      <c r="J39" s="19">
        <f t="shared" ref="J39:J53" si="6">H39-I39</f>
        <v>7969</v>
      </c>
      <c r="K39" s="19">
        <f t="shared" ref="K39:K53" si="7">J39</f>
        <v>7969</v>
      </c>
    </row>
    <row r="40" spans="1:13" x14ac:dyDescent="0.45">
      <c r="A40" s="4">
        <v>45408</v>
      </c>
      <c r="B40" s="5" t="s">
        <v>50</v>
      </c>
      <c r="C40" s="5" t="s">
        <v>68</v>
      </c>
      <c r="D40" s="5">
        <v>2163</v>
      </c>
      <c r="E40" s="9" t="s">
        <v>238</v>
      </c>
      <c r="F40" s="40">
        <v>37.5</v>
      </c>
      <c r="G40" s="5">
        <v>100</v>
      </c>
      <c r="H40" s="19">
        <f t="shared" si="3"/>
        <v>3750</v>
      </c>
      <c r="I40" s="19">
        <v>761</v>
      </c>
      <c r="J40" s="19">
        <f t="shared" si="6"/>
        <v>2989</v>
      </c>
      <c r="K40" s="19">
        <f t="shared" si="7"/>
        <v>2989</v>
      </c>
    </row>
    <row r="41" spans="1:13" x14ac:dyDescent="0.45">
      <c r="A41" s="4">
        <v>45456</v>
      </c>
      <c r="B41" s="5" t="s">
        <v>50</v>
      </c>
      <c r="C41" s="5" t="s">
        <v>68</v>
      </c>
      <c r="D41" s="5">
        <v>3397</v>
      </c>
      <c r="E41" s="9" t="s">
        <v>110</v>
      </c>
      <c r="F41" s="21">
        <v>9</v>
      </c>
      <c r="G41" s="5">
        <v>100</v>
      </c>
      <c r="H41" s="19">
        <f t="shared" si="3"/>
        <v>900</v>
      </c>
      <c r="I41" s="19">
        <v>182</v>
      </c>
      <c r="J41" s="19">
        <f t="shared" si="6"/>
        <v>718</v>
      </c>
      <c r="K41" s="19">
        <f t="shared" si="7"/>
        <v>718</v>
      </c>
    </row>
    <row r="42" spans="1:13" x14ac:dyDescent="0.45">
      <c r="A42" s="4">
        <v>45462</v>
      </c>
      <c r="B42" s="5" t="s">
        <v>50</v>
      </c>
      <c r="C42" s="5" t="s">
        <v>68</v>
      </c>
      <c r="D42" s="5">
        <v>9613</v>
      </c>
      <c r="E42" s="9" t="s">
        <v>250</v>
      </c>
      <c r="F42" s="21">
        <v>11.5</v>
      </c>
      <c r="G42" s="5">
        <v>100</v>
      </c>
      <c r="H42" s="19">
        <f t="shared" si="3"/>
        <v>1150</v>
      </c>
      <c r="I42" s="19">
        <v>233</v>
      </c>
      <c r="J42" s="19">
        <f t="shared" si="6"/>
        <v>917</v>
      </c>
      <c r="K42" s="19">
        <f t="shared" si="7"/>
        <v>917</v>
      </c>
    </row>
    <row r="43" spans="1:13" x14ac:dyDescent="0.45">
      <c r="A43" s="4">
        <v>45467</v>
      </c>
      <c r="B43" s="5" t="s">
        <v>50</v>
      </c>
      <c r="C43" s="5" t="s">
        <v>68</v>
      </c>
      <c r="D43" s="5">
        <v>2432</v>
      </c>
      <c r="E43" s="9" t="s">
        <v>246</v>
      </c>
      <c r="F43" s="9">
        <v>20</v>
      </c>
      <c r="G43" s="5">
        <v>300</v>
      </c>
      <c r="H43" s="19">
        <f t="shared" si="3"/>
        <v>6000</v>
      </c>
      <c r="I43" s="19">
        <v>1218</v>
      </c>
      <c r="J43" s="19">
        <f t="shared" si="6"/>
        <v>4782</v>
      </c>
      <c r="K43" s="19">
        <f t="shared" si="7"/>
        <v>4782</v>
      </c>
    </row>
    <row r="44" spans="1:13" x14ac:dyDescent="0.45">
      <c r="A44" s="4">
        <v>45467</v>
      </c>
      <c r="B44" s="5" t="s">
        <v>50</v>
      </c>
      <c r="C44" s="5" t="s">
        <v>68</v>
      </c>
      <c r="D44" s="5">
        <v>7735</v>
      </c>
      <c r="E44" s="9" t="s">
        <v>244</v>
      </c>
      <c r="F44" s="9">
        <v>140</v>
      </c>
      <c r="G44" s="5">
        <v>100</v>
      </c>
      <c r="H44" s="19">
        <f t="shared" si="3"/>
        <v>14000</v>
      </c>
      <c r="I44" s="19">
        <v>2844</v>
      </c>
      <c r="J44" s="19">
        <f t="shared" si="6"/>
        <v>11156</v>
      </c>
      <c r="K44" s="19">
        <f t="shared" si="7"/>
        <v>11156</v>
      </c>
    </row>
    <row r="45" spans="1:13" x14ac:dyDescent="0.45">
      <c r="A45" s="4">
        <v>45471</v>
      </c>
      <c r="B45" s="5" t="s">
        <v>50</v>
      </c>
      <c r="C45" s="5" t="s">
        <v>68</v>
      </c>
      <c r="D45" s="5">
        <v>7974</v>
      </c>
      <c r="E45" s="9" t="s">
        <v>174</v>
      </c>
      <c r="F45" s="9">
        <v>131</v>
      </c>
      <c r="G45" s="5">
        <v>200</v>
      </c>
      <c r="H45" s="19">
        <f t="shared" si="3"/>
        <v>26200</v>
      </c>
      <c r="I45" s="19">
        <v>5322</v>
      </c>
      <c r="J45" s="19">
        <f t="shared" si="6"/>
        <v>20878</v>
      </c>
      <c r="K45" s="19">
        <f t="shared" si="7"/>
        <v>20878</v>
      </c>
    </row>
    <row r="46" spans="1:13" x14ac:dyDescent="0.45">
      <c r="A46" s="4">
        <v>45471</v>
      </c>
      <c r="B46" s="5" t="s">
        <v>50</v>
      </c>
      <c r="C46" s="5" t="s">
        <v>68</v>
      </c>
      <c r="D46" s="5">
        <v>4661</v>
      </c>
      <c r="E46" s="9" t="s">
        <v>220</v>
      </c>
      <c r="F46" s="9">
        <v>8</v>
      </c>
      <c r="G46" s="5">
        <v>100</v>
      </c>
      <c r="H46" s="19">
        <f t="shared" si="3"/>
        <v>800</v>
      </c>
      <c r="I46" s="19">
        <v>162</v>
      </c>
      <c r="J46" s="19">
        <f t="shared" si="6"/>
        <v>638</v>
      </c>
      <c r="K46" s="19">
        <f t="shared" si="7"/>
        <v>638</v>
      </c>
    </row>
    <row r="47" spans="1:13" x14ac:dyDescent="0.45">
      <c r="A47" s="4">
        <v>45471</v>
      </c>
      <c r="B47" s="5" t="s">
        <v>50</v>
      </c>
      <c r="C47" s="5" t="s">
        <v>68</v>
      </c>
      <c r="D47" s="5">
        <v>4063</v>
      </c>
      <c r="E47" s="9" t="s">
        <v>192</v>
      </c>
      <c r="F47" s="9">
        <v>50</v>
      </c>
      <c r="G47" s="5">
        <v>100</v>
      </c>
      <c r="H47" s="19">
        <f t="shared" si="3"/>
        <v>5000</v>
      </c>
      <c r="I47" s="19">
        <v>1015</v>
      </c>
      <c r="J47" s="19">
        <f t="shared" si="6"/>
        <v>3985</v>
      </c>
      <c r="K47" s="19">
        <f t="shared" si="7"/>
        <v>3985</v>
      </c>
    </row>
    <row r="48" spans="1:13" x14ac:dyDescent="0.45">
      <c r="A48" s="4">
        <v>45537</v>
      </c>
      <c r="B48" s="5" t="s">
        <v>50</v>
      </c>
      <c r="C48" s="5" t="s">
        <v>68</v>
      </c>
      <c r="D48" s="5">
        <v>5108</v>
      </c>
      <c r="E48" s="9" t="s">
        <v>186</v>
      </c>
      <c r="F48" s="21">
        <v>105</v>
      </c>
      <c r="G48" s="5">
        <v>100</v>
      </c>
      <c r="H48" s="19">
        <f t="shared" si="3"/>
        <v>10500</v>
      </c>
      <c r="I48" s="19">
        <v>2133</v>
      </c>
      <c r="J48" s="19">
        <f t="shared" si="6"/>
        <v>8367</v>
      </c>
      <c r="K48" s="19">
        <f t="shared" si="7"/>
        <v>8367</v>
      </c>
    </row>
    <row r="49" spans="1:11" x14ac:dyDescent="0.45">
      <c r="A49" s="4">
        <v>45628</v>
      </c>
      <c r="B49" s="5" t="s">
        <v>50</v>
      </c>
      <c r="C49" s="5" t="s">
        <v>68</v>
      </c>
      <c r="D49" s="5">
        <v>9613</v>
      </c>
      <c r="E49" s="9" t="s">
        <v>250</v>
      </c>
      <c r="F49" s="9">
        <v>12.5</v>
      </c>
      <c r="G49" s="5">
        <v>100</v>
      </c>
      <c r="H49" s="19">
        <f t="shared" si="3"/>
        <v>1250</v>
      </c>
      <c r="I49" s="19">
        <v>253</v>
      </c>
      <c r="J49" s="19">
        <f t="shared" si="6"/>
        <v>997</v>
      </c>
      <c r="K49" s="19">
        <f t="shared" si="7"/>
        <v>997</v>
      </c>
    </row>
    <row r="50" spans="1:11" x14ac:dyDescent="0.45">
      <c r="A50" s="4">
        <v>45629</v>
      </c>
      <c r="B50" s="5" t="s">
        <v>50</v>
      </c>
      <c r="C50" s="5" t="s">
        <v>68</v>
      </c>
      <c r="D50" s="5">
        <v>8031</v>
      </c>
      <c r="E50" s="9" t="s">
        <v>195</v>
      </c>
      <c r="F50" s="9">
        <v>50</v>
      </c>
      <c r="G50" s="5">
        <v>200</v>
      </c>
      <c r="H50" s="19">
        <f t="shared" si="3"/>
        <v>10000</v>
      </c>
      <c r="I50" s="19">
        <v>2031</v>
      </c>
      <c r="J50" s="19">
        <f t="shared" si="6"/>
        <v>7969</v>
      </c>
      <c r="K50" s="19">
        <f t="shared" si="7"/>
        <v>7969</v>
      </c>
    </row>
    <row r="51" spans="1:11" x14ac:dyDescent="0.45">
      <c r="A51" s="4">
        <v>45629</v>
      </c>
      <c r="B51" s="5" t="s">
        <v>50</v>
      </c>
      <c r="C51" s="5" t="s">
        <v>68</v>
      </c>
      <c r="D51" s="5">
        <v>7012</v>
      </c>
      <c r="E51" s="9" t="s">
        <v>183</v>
      </c>
      <c r="F51" s="9">
        <v>70</v>
      </c>
      <c r="G51" s="5">
        <v>100</v>
      </c>
      <c r="H51" s="19">
        <f t="shared" si="3"/>
        <v>7000</v>
      </c>
      <c r="I51" s="19">
        <v>1422</v>
      </c>
      <c r="J51" s="19">
        <f t="shared" si="6"/>
        <v>5578</v>
      </c>
      <c r="K51" s="19">
        <f t="shared" si="7"/>
        <v>5578</v>
      </c>
    </row>
    <row r="52" spans="1:11" x14ac:dyDescent="0.45">
      <c r="A52" s="4">
        <v>45631</v>
      </c>
      <c r="B52" s="5" t="s">
        <v>50</v>
      </c>
      <c r="C52" s="5" t="s">
        <v>68</v>
      </c>
      <c r="D52" s="5">
        <v>4661</v>
      </c>
      <c r="E52" s="9" t="s">
        <v>220</v>
      </c>
      <c r="F52" s="9">
        <v>7</v>
      </c>
      <c r="G52" s="5">
        <v>100</v>
      </c>
      <c r="H52" s="19">
        <f t="shared" si="3"/>
        <v>700</v>
      </c>
      <c r="I52" s="19">
        <v>142</v>
      </c>
      <c r="J52" s="19">
        <f t="shared" si="6"/>
        <v>558</v>
      </c>
      <c r="K52" s="19">
        <f t="shared" si="7"/>
        <v>558</v>
      </c>
    </row>
    <row r="53" spans="1:11" x14ac:dyDescent="0.45">
      <c r="A53" s="4">
        <v>45636</v>
      </c>
      <c r="B53" s="5" t="s">
        <v>50</v>
      </c>
      <c r="C53" s="5" t="s">
        <v>68</v>
      </c>
      <c r="D53" s="5">
        <v>6254</v>
      </c>
      <c r="E53" s="9" t="s">
        <v>254</v>
      </c>
      <c r="F53" s="9">
        <v>20</v>
      </c>
      <c r="G53" s="5">
        <v>100</v>
      </c>
      <c r="H53" s="19">
        <f t="shared" si="3"/>
        <v>2000</v>
      </c>
      <c r="I53" s="19">
        <v>406</v>
      </c>
      <c r="J53" s="19">
        <f t="shared" si="6"/>
        <v>1594</v>
      </c>
      <c r="K53" s="19">
        <f t="shared" si="7"/>
        <v>1594</v>
      </c>
    </row>
    <row r="54" spans="1:11" x14ac:dyDescent="0.45">
      <c r="A54" s="4">
        <v>45742</v>
      </c>
      <c r="B54" s="5" t="s">
        <v>50</v>
      </c>
      <c r="C54" s="5" t="s">
        <v>68</v>
      </c>
      <c r="D54" s="5">
        <v>5108</v>
      </c>
      <c r="E54" s="9" t="s">
        <v>186</v>
      </c>
      <c r="F54" s="21">
        <v>105</v>
      </c>
      <c r="G54" s="5">
        <v>100</v>
      </c>
      <c r="H54" s="19">
        <f t="shared" ref="H54" si="8">F54*G54</f>
        <v>10500</v>
      </c>
      <c r="I54" s="19">
        <v>2133</v>
      </c>
      <c r="J54" s="19">
        <f t="shared" ref="J54" si="9">H54-I54</f>
        <v>8367</v>
      </c>
      <c r="K54" s="19">
        <f t="shared" ref="K54" si="10">J54</f>
        <v>8367</v>
      </c>
    </row>
    <row r="55" spans="1:11" x14ac:dyDescent="0.45">
      <c r="A55" s="4">
        <v>45743</v>
      </c>
      <c r="B55" s="5" t="s">
        <v>50</v>
      </c>
      <c r="C55" s="5" t="s">
        <v>68</v>
      </c>
      <c r="D55" s="5">
        <v>2914</v>
      </c>
      <c r="E55" s="9" t="s">
        <v>107</v>
      </c>
      <c r="F55" s="21">
        <v>97</v>
      </c>
      <c r="G55" s="5">
        <v>100</v>
      </c>
      <c r="H55" s="19">
        <f t="shared" ref="H55:H86" si="11">F55*G55</f>
        <v>9700</v>
      </c>
      <c r="I55" s="19">
        <v>1970</v>
      </c>
      <c r="J55" s="19">
        <f t="shared" ref="J55:J71" si="12">H55-I55</f>
        <v>7730</v>
      </c>
      <c r="K55" s="19">
        <f t="shared" ref="K55:K71" si="13">J55</f>
        <v>7730</v>
      </c>
    </row>
    <row r="56" spans="1:11" x14ac:dyDescent="0.45">
      <c r="A56" s="4">
        <v>45744</v>
      </c>
      <c r="B56" s="5" t="s">
        <v>50</v>
      </c>
      <c r="C56" s="5" t="s">
        <v>68</v>
      </c>
      <c r="D56" s="5">
        <v>4519</v>
      </c>
      <c r="E56" s="9" t="s">
        <v>200</v>
      </c>
      <c r="F56" s="9">
        <v>57</v>
      </c>
      <c r="G56" s="5">
        <v>100</v>
      </c>
      <c r="H56" s="19">
        <f t="shared" si="11"/>
        <v>5700</v>
      </c>
      <c r="I56" s="19">
        <v>1157</v>
      </c>
      <c r="J56" s="19">
        <f t="shared" si="12"/>
        <v>4543</v>
      </c>
      <c r="K56" s="19">
        <f t="shared" si="13"/>
        <v>4543</v>
      </c>
    </row>
    <row r="57" spans="1:11" x14ac:dyDescent="0.45">
      <c r="A57" s="4">
        <v>45747</v>
      </c>
      <c r="B57" s="5" t="s">
        <v>50</v>
      </c>
      <c r="C57" s="5" t="s">
        <v>68</v>
      </c>
      <c r="D57" s="5">
        <v>7751</v>
      </c>
      <c r="E57" s="6" t="s">
        <v>35</v>
      </c>
      <c r="F57" s="9">
        <v>80</v>
      </c>
      <c r="G57" s="5">
        <v>100</v>
      </c>
      <c r="H57" s="19">
        <f t="shared" si="11"/>
        <v>8000</v>
      </c>
      <c r="I57" s="19">
        <v>1625</v>
      </c>
      <c r="J57" s="19">
        <f t="shared" si="12"/>
        <v>6375</v>
      </c>
      <c r="K57" s="19">
        <f t="shared" si="13"/>
        <v>6375</v>
      </c>
    </row>
    <row r="58" spans="1:11" x14ac:dyDescent="0.45">
      <c r="A58" s="4">
        <v>45747</v>
      </c>
      <c r="B58" s="5" t="s">
        <v>50</v>
      </c>
      <c r="C58" s="5" t="s">
        <v>68</v>
      </c>
      <c r="D58" s="5">
        <v>1911</v>
      </c>
      <c r="E58" s="9" t="s">
        <v>196</v>
      </c>
      <c r="F58" s="9">
        <v>80</v>
      </c>
      <c r="G58" s="5">
        <v>100</v>
      </c>
      <c r="H58" s="19">
        <f t="shared" si="11"/>
        <v>8000</v>
      </c>
      <c r="I58" s="19">
        <v>1625</v>
      </c>
      <c r="J58" s="19">
        <f t="shared" si="12"/>
        <v>6375</v>
      </c>
      <c r="K58" s="19">
        <f t="shared" si="13"/>
        <v>6375</v>
      </c>
    </row>
    <row r="59" spans="1:11" x14ac:dyDescent="0.45">
      <c r="A59" s="4">
        <v>45771</v>
      </c>
      <c r="B59" s="5" t="s">
        <v>50</v>
      </c>
      <c r="C59" s="5" t="s">
        <v>68</v>
      </c>
      <c r="D59" s="5">
        <v>1928</v>
      </c>
      <c r="E59" s="9" t="s">
        <v>222</v>
      </c>
      <c r="F59" s="9">
        <v>71</v>
      </c>
      <c r="G59" s="5">
        <v>100</v>
      </c>
      <c r="H59" s="19">
        <f t="shared" si="11"/>
        <v>7100</v>
      </c>
      <c r="I59" s="19">
        <v>1442</v>
      </c>
      <c r="J59" s="19">
        <f t="shared" si="12"/>
        <v>5658</v>
      </c>
      <c r="K59" s="19">
        <f t="shared" si="13"/>
        <v>5658</v>
      </c>
    </row>
    <row r="60" spans="1:11" x14ac:dyDescent="0.45">
      <c r="A60" s="4">
        <v>45803</v>
      </c>
      <c r="B60" s="5" t="s">
        <v>50</v>
      </c>
      <c r="C60" s="5" t="s">
        <v>68</v>
      </c>
      <c r="D60" s="5">
        <v>7203</v>
      </c>
      <c r="E60" s="9" t="s">
        <v>243</v>
      </c>
      <c r="F60" s="9">
        <v>50</v>
      </c>
      <c r="G60" s="5">
        <v>100</v>
      </c>
      <c r="H60" s="19">
        <f t="shared" si="11"/>
        <v>5000</v>
      </c>
      <c r="I60" s="19">
        <v>1015</v>
      </c>
      <c r="J60" s="19">
        <f t="shared" si="12"/>
        <v>3985</v>
      </c>
      <c r="K60" s="19">
        <f t="shared" si="13"/>
        <v>3985</v>
      </c>
    </row>
    <row r="61" spans="1:11" x14ac:dyDescent="0.45">
      <c r="A61" s="4">
        <v>45810</v>
      </c>
      <c r="B61" s="5" t="s">
        <v>50</v>
      </c>
      <c r="C61" s="5" t="s">
        <v>68</v>
      </c>
      <c r="D61" s="5">
        <v>8604</v>
      </c>
      <c r="E61" s="9" t="s">
        <v>326</v>
      </c>
      <c r="F61" s="9">
        <v>34</v>
      </c>
      <c r="G61" s="5">
        <v>300</v>
      </c>
      <c r="H61" s="19">
        <f t="shared" si="11"/>
        <v>10200</v>
      </c>
      <c r="I61" s="19">
        <v>2072</v>
      </c>
      <c r="J61" s="19">
        <f t="shared" si="12"/>
        <v>8128</v>
      </c>
      <c r="K61" s="19">
        <f t="shared" si="13"/>
        <v>8128</v>
      </c>
    </row>
    <row r="62" spans="1:11" x14ac:dyDescent="0.45">
      <c r="A62" s="4">
        <v>45817</v>
      </c>
      <c r="B62" s="5" t="s">
        <v>50</v>
      </c>
      <c r="C62" s="5" t="s">
        <v>68</v>
      </c>
      <c r="D62" s="5">
        <v>8698</v>
      </c>
      <c r="E62" s="9" t="s">
        <v>275</v>
      </c>
      <c r="F62" s="9">
        <v>25.2</v>
      </c>
      <c r="G62" s="5">
        <v>300</v>
      </c>
      <c r="H62" s="19">
        <f t="shared" si="11"/>
        <v>7560</v>
      </c>
      <c r="I62" s="19">
        <v>1535</v>
      </c>
      <c r="J62" s="19">
        <f t="shared" si="12"/>
        <v>6025</v>
      </c>
      <c r="K62" s="19">
        <f t="shared" si="13"/>
        <v>6025</v>
      </c>
    </row>
    <row r="63" spans="1:11" x14ac:dyDescent="0.45">
      <c r="A63" s="4">
        <v>45818</v>
      </c>
      <c r="B63" s="5" t="s">
        <v>50</v>
      </c>
      <c r="C63" s="5" t="s">
        <v>68</v>
      </c>
      <c r="D63" s="5">
        <v>5185</v>
      </c>
      <c r="E63" s="9" t="s">
        <v>261</v>
      </c>
      <c r="F63" s="9">
        <v>37.5</v>
      </c>
      <c r="G63" s="5">
        <v>100</v>
      </c>
      <c r="H63" s="19">
        <f t="shared" si="11"/>
        <v>3750</v>
      </c>
      <c r="I63" s="19">
        <v>761</v>
      </c>
      <c r="J63" s="19">
        <f t="shared" si="12"/>
        <v>2989</v>
      </c>
      <c r="K63" s="19">
        <f t="shared" si="13"/>
        <v>2989</v>
      </c>
    </row>
    <row r="64" spans="1:11" x14ac:dyDescent="0.45">
      <c r="A64" s="4">
        <v>45827</v>
      </c>
      <c r="B64" s="5" t="s">
        <v>50</v>
      </c>
      <c r="C64" s="5" t="s">
        <v>68</v>
      </c>
      <c r="D64" s="5">
        <v>8031</v>
      </c>
      <c r="E64" s="9" t="s">
        <v>195</v>
      </c>
      <c r="F64" s="9">
        <v>50</v>
      </c>
      <c r="G64" s="5">
        <v>200</v>
      </c>
      <c r="H64" s="19">
        <f t="shared" si="11"/>
        <v>10000</v>
      </c>
      <c r="I64" s="19">
        <v>2031</v>
      </c>
      <c r="J64" s="19">
        <f t="shared" si="12"/>
        <v>7969</v>
      </c>
      <c r="K64" s="19">
        <f t="shared" si="13"/>
        <v>7969</v>
      </c>
    </row>
    <row r="65" spans="1:11" x14ac:dyDescent="0.45">
      <c r="A65" s="4">
        <v>45831</v>
      </c>
      <c r="B65" s="5" t="s">
        <v>50</v>
      </c>
      <c r="C65" s="5" t="s">
        <v>68</v>
      </c>
      <c r="D65" s="5">
        <v>2432</v>
      </c>
      <c r="E65" s="9" t="s">
        <v>246</v>
      </c>
      <c r="F65" s="9">
        <v>65</v>
      </c>
      <c r="G65" s="5">
        <v>100</v>
      </c>
      <c r="H65" s="19">
        <f t="shared" si="11"/>
        <v>6500</v>
      </c>
      <c r="I65" s="19">
        <v>1320</v>
      </c>
      <c r="J65" s="19">
        <f t="shared" si="12"/>
        <v>5180</v>
      </c>
      <c r="K65" s="19">
        <f t="shared" si="13"/>
        <v>5180</v>
      </c>
    </row>
    <row r="66" spans="1:11" x14ac:dyDescent="0.45">
      <c r="A66" s="4">
        <v>45835</v>
      </c>
      <c r="B66" s="5" t="s">
        <v>50</v>
      </c>
      <c r="C66" s="5" t="s">
        <v>68</v>
      </c>
      <c r="D66" s="5">
        <v>5021</v>
      </c>
      <c r="E66" s="9" t="s">
        <v>280</v>
      </c>
      <c r="F66" s="9">
        <v>180</v>
      </c>
      <c r="G66" s="5">
        <v>100</v>
      </c>
      <c r="H66" s="19">
        <f t="shared" si="11"/>
        <v>18000</v>
      </c>
      <c r="I66" s="19">
        <v>3656</v>
      </c>
      <c r="J66" s="19">
        <f t="shared" si="12"/>
        <v>14344</v>
      </c>
      <c r="K66" s="19">
        <f t="shared" si="13"/>
        <v>14344</v>
      </c>
    </row>
    <row r="67" spans="1:11" x14ac:dyDescent="0.45">
      <c r="A67" s="4">
        <v>45838</v>
      </c>
      <c r="B67" s="5" t="s">
        <v>50</v>
      </c>
      <c r="C67" s="5" t="s">
        <v>68</v>
      </c>
      <c r="D67" s="5">
        <v>7974</v>
      </c>
      <c r="E67" s="9" t="s">
        <v>174</v>
      </c>
      <c r="F67" s="9">
        <v>85</v>
      </c>
      <c r="G67" s="5">
        <v>100</v>
      </c>
      <c r="H67" s="19">
        <f t="shared" si="11"/>
        <v>8500</v>
      </c>
      <c r="I67" s="19">
        <v>1726</v>
      </c>
      <c r="J67" s="19">
        <f t="shared" si="12"/>
        <v>6774</v>
      </c>
      <c r="K67" s="19">
        <f t="shared" si="13"/>
        <v>6774</v>
      </c>
    </row>
    <row r="68" spans="1:11" x14ac:dyDescent="0.45">
      <c r="A68" s="4">
        <v>45838</v>
      </c>
      <c r="B68" s="5" t="s">
        <v>50</v>
      </c>
      <c r="C68" s="5" t="s">
        <v>68</v>
      </c>
      <c r="D68" s="5">
        <v>7011</v>
      </c>
      <c r="E68" s="6" t="s">
        <v>34</v>
      </c>
      <c r="F68" s="9">
        <v>12</v>
      </c>
      <c r="G68" s="5">
        <v>500</v>
      </c>
      <c r="H68" s="19">
        <f t="shared" si="11"/>
        <v>6000</v>
      </c>
      <c r="I68" s="19">
        <v>1218</v>
      </c>
      <c r="J68" s="19">
        <f t="shared" si="12"/>
        <v>4782</v>
      </c>
      <c r="K68" s="19">
        <f t="shared" si="13"/>
        <v>4782</v>
      </c>
    </row>
    <row r="69" spans="1:11" x14ac:dyDescent="0.45">
      <c r="A69" s="4">
        <v>45838</v>
      </c>
      <c r="B69" s="5" t="s">
        <v>50</v>
      </c>
      <c r="C69" s="5" t="s">
        <v>68</v>
      </c>
      <c r="D69" s="5">
        <v>4661</v>
      </c>
      <c r="E69" s="9" t="s">
        <v>220</v>
      </c>
      <c r="F69" s="9">
        <v>7</v>
      </c>
      <c r="G69" s="5">
        <v>100</v>
      </c>
      <c r="H69" s="19">
        <f t="shared" si="11"/>
        <v>700</v>
      </c>
      <c r="I69" s="19">
        <v>142</v>
      </c>
      <c r="J69" s="19">
        <f t="shared" si="12"/>
        <v>558</v>
      </c>
      <c r="K69" s="19">
        <f t="shared" si="13"/>
        <v>558</v>
      </c>
    </row>
    <row r="70" spans="1:11" x14ac:dyDescent="0.45">
      <c r="A70" s="4">
        <v>45838</v>
      </c>
      <c r="B70" s="5" t="s">
        <v>50</v>
      </c>
      <c r="C70" s="5" t="s">
        <v>68</v>
      </c>
      <c r="D70" s="5">
        <v>2201</v>
      </c>
      <c r="E70" s="9" t="s">
        <v>76</v>
      </c>
      <c r="F70" s="9">
        <v>60</v>
      </c>
      <c r="G70" s="5">
        <v>100</v>
      </c>
      <c r="H70" s="19">
        <f t="shared" si="11"/>
        <v>6000</v>
      </c>
      <c r="I70" s="19">
        <v>1218</v>
      </c>
      <c r="J70" s="19">
        <f t="shared" si="12"/>
        <v>4782</v>
      </c>
      <c r="K70" s="19">
        <f t="shared" si="13"/>
        <v>4782</v>
      </c>
    </row>
    <row r="71" spans="1:11" x14ac:dyDescent="0.45">
      <c r="A71" s="4">
        <v>45894</v>
      </c>
      <c r="B71" s="5" t="s">
        <v>50</v>
      </c>
      <c r="C71" s="5" t="s">
        <v>68</v>
      </c>
      <c r="D71" s="5">
        <v>7751</v>
      </c>
      <c r="E71" s="6" t="s">
        <v>35</v>
      </c>
      <c r="F71" s="9">
        <v>80</v>
      </c>
      <c r="G71" s="5">
        <v>100</v>
      </c>
      <c r="H71" s="19">
        <f t="shared" si="11"/>
        <v>8000</v>
      </c>
      <c r="I71" s="19">
        <v>1625</v>
      </c>
      <c r="J71" s="19">
        <f t="shared" si="12"/>
        <v>6375</v>
      </c>
      <c r="K71" s="19">
        <f t="shared" si="13"/>
        <v>6375</v>
      </c>
    </row>
    <row r="72" spans="1:11" x14ac:dyDescent="0.45">
      <c r="A72" s="4">
        <v>45901</v>
      </c>
      <c r="B72" s="5" t="s">
        <v>50</v>
      </c>
      <c r="C72" s="5" t="s">
        <v>68</v>
      </c>
      <c r="D72" s="5">
        <v>5108</v>
      </c>
      <c r="E72" s="9" t="s">
        <v>186</v>
      </c>
      <c r="F72" s="21">
        <v>115</v>
      </c>
      <c r="G72" s="5">
        <v>100</v>
      </c>
      <c r="H72" s="19">
        <f t="shared" si="11"/>
        <v>11500</v>
      </c>
      <c r="I72" s="19">
        <v>2336</v>
      </c>
      <c r="J72" s="19">
        <f t="shared" ref="J72:J79" si="14">H72-I72</f>
        <v>9164</v>
      </c>
      <c r="K72" s="19">
        <f t="shared" ref="K72:K79" si="15">J72</f>
        <v>9164</v>
      </c>
    </row>
    <row r="73" spans="1:11" x14ac:dyDescent="0.45">
      <c r="A73" s="4">
        <v>45908</v>
      </c>
      <c r="B73" s="5" t="s">
        <v>50</v>
      </c>
      <c r="C73" s="5" t="s">
        <v>68</v>
      </c>
      <c r="D73" s="5">
        <v>1911</v>
      </c>
      <c r="E73" s="9" t="s">
        <v>196</v>
      </c>
      <c r="F73" s="9">
        <v>75</v>
      </c>
      <c r="G73" s="5">
        <v>100</v>
      </c>
      <c r="H73" s="19">
        <f t="shared" si="11"/>
        <v>7500</v>
      </c>
      <c r="I73" s="19">
        <v>1523</v>
      </c>
      <c r="J73" s="19">
        <f t="shared" si="14"/>
        <v>5977</v>
      </c>
      <c r="K73" s="19">
        <f t="shared" si="15"/>
        <v>5977</v>
      </c>
    </row>
    <row r="74" spans="1:11" x14ac:dyDescent="0.45">
      <c r="A74" s="4">
        <v>45930</v>
      </c>
      <c r="B74" s="5" t="s">
        <v>50</v>
      </c>
      <c r="C74" s="5" t="s">
        <v>68</v>
      </c>
      <c r="D74" s="5">
        <v>1928</v>
      </c>
      <c r="E74" s="9" t="s">
        <v>222</v>
      </c>
      <c r="F74" s="9">
        <v>72</v>
      </c>
      <c r="G74" s="5">
        <v>100</v>
      </c>
      <c r="H74" s="19">
        <f t="shared" si="11"/>
        <v>7200</v>
      </c>
      <c r="I74" s="19">
        <v>1462</v>
      </c>
      <c r="J74" s="19">
        <f t="shared" si="14"/>
        <v>5738</v>
      </c>
      <c r="K74" s="19">
        <f t="shared" si="15"/>
        <v>5738</v>
      </c>
    </row>
    <row r="75" spans="1:11" x14ac:dyDescent="0.45">
      <c r="A75" s="4">
        <v>45987</v>
      </c>
      <c r="B75" s="5" t="s">
        <v>50</v>
      </c>
      <c r="C75" s="5" t="s">
        <v>68</v>
      </c>
      <c r="D75" s="5">
        <v>8698</v>
      </c>
      <c r="E75" s="9" t="s">
        <v>275</v>
      </c>
      <c r="F75" s="9">
        <v>15.3</v>
      </c>
      <c r="G75" s="5">
        <v>300</v>
      </c>
      <c r="H75" s="19">
        <f t="shared" si="11"/>
        <v>4590</v>
      </c>
      <c r="I75" s="19">
        <v>931</v>
      </c>
      <c r="J75" s="19">
        <f t="shared" si="14"/>
        <v>3659</v>
      </c>
      <c r="K75" s="19">
        <f t="shared" si="15"/>
        <v>3659</v>
      </c>
    </row>
    <row r="76" spans="1:11" x14ac:dyDescent="0.45">
      <c r="A76" s="4">
        <v>45987</v>
      </c>
      <c r="B76" s="5" t="s">
        <v>50</v>
      </c>
      <c r="C76" s="5" t="s">
        <v>68</v>
      </c>
      <c r="D76" s="5">
        <v>7203</v>
      </c>
      <c r="E76" s="9" t="s">
        <v>243</v>
      </c>
      <c r="F76" s="9">
        <v>45</v>
      </c>
      <c r="G76" s="5">
        <v>100</v>
      </c>
      <c r="H76" s="19">
        <f t="shared" si="11"/>
        <v>4500</v>
      </c>
      <c r="I76" s="19">
        <v>914</v>
      </c>
      <c r="J76" s="19">
        <f t="shared" si="14"/>
        <v>3586</v>
      </c>
      <c r="K76" s="19">
        <f t="shared" si="15"/>
        <v>3586</v>
      </c>
    </row>
    <row r="77" spans="1:11" x14ac:dyDescent="0.45">
      <c r="A77" s="4">
        <v>45992</v>
      </c>
      <c r="B77" s="5" t="s">
        <v>50</v>
      </c>
      <c r="C77" s="5" t="s">
        <v>68</v>
      </c>
      <c r="D77" s="5">
        <v>7974</v>
      </c>
      <c r="E77" s="9" t="s">
        <v>174</v>
      </c>
      <c r="F77" s="9">
        <v>42</v>
      </c>
      <c r="G77" s="5">
        <v>100</v>
      </c>
      <c r="H77" s="19">
        <f t="shared" si="11"/>
        <v>4200</v>
      </c>
      <c r="I77" s="19">
        <v>853</v>
      </c>
      <c r="J77" s="19">
        <f t="shared" si="14"/>
        <v>3347</v>
      </c>
      <c r="K77" s="19">
        <f t="shared" si="15"/>
        <v>3347</v>
      </c>
    </row>
    <row r="78" spans="1:11" x14ac:dyDescent="0.45">
      <c r="A78" s="4">
        <v>45992</v>
      </c>
      <c r="B78" s="5" t="s">
        <v>50</v>
      </c>
      <c r="C78" s="5" t="s">
        <v>68</v>
      </c>
      <c r="D78" s="5">
        <v>5602</v>
      </c>
      <c r="E78" s="9" t="s">
        <v>364</v>
      </c>
      <c r="F78" s="9">
        <v>144</v>
      </c>
      <c r="G78" s="5">
        <v>100</v>
      </c>
      <c r="H78" s="19">
        <f t="shared" si="11"/>
        <v>14400</v>
      </c>
      <c r="I78" s="19">
        <v>2925</v>
      </c>
      <c r="J78" s="19">
        <f t="shared" si="14"/>
        <v>11475</v>
      </c>
      <c r="K78" s="19">
        <f t="shared" si="15"/>
        <v>11475</v>
      </c>
    </row>
    <row r="79" spans="1:11" x14ac:dyDescent="0.45">
      <c r="A79" s="4">
        <v>45993</v>
      </c>
      <c r="B79" s="5" t="s">
        <v>50</v>
      </c>
      <c r="C79" s="5" t="s">
        <v>68</v>
      </c>
      <c r="D79" s="5">
        <v>8031</v>
      </c>
      <c r="E79" s="9" t="s">
        <v>195</v>
      </c>
      <c r="F79" s="9">
        <v>55</v>
      </c>
      <c r="G79" s="5">
        <v>200</v>
      </c>
      <c r="H79" s="19">
        <f t="shared" si="11"/>
        <v>11000</v>
      </c>
      <c r="I79" s="19">
        <v>2234</v>
      </c>
      <c r="J79" s="19">
        <f t="shared" si="14"/>
        <v>8766</v>
      </c>
      <c r="K79" s="19">
        <f t="shared" si="15"/>
        <v>8766</v>
      </c>
    </row>
    <row r="80" spans="1:11" x14ac:dyDescent="0.45">
      <c r="A80" s="4">
        <v>45996</v>
      </c>
      <c r="B80" s="5" t="s">
        <v>50</v>
      </c>
      <c r="C80" s="5" t="s">
        <v>68</v>
      </c>
      <c r="D80" s="5">
        <v>7011</v>
      </c>
      <c r="E80" s="6" t="s">
        <v>34</v>
      </c>
      <c r="F80" s="9">
        <v>12</v>
      </c>
      <c r="G80" s="5">
        <v>500</v>
      </c>
      <c r="H80" s="19">
        <f t="shared" si="11"/>
        <v>6000</v>
      </c>
      <c r="I80" s="19">
        <v>1218</v>
      </c>
      <c r="J80" s="19">
        <f t="shared" ref="J80:J88" si="16">H80-I80</f>
        <v>4782</v>
      </c>
      <c r="K80" s="19">
        <f t="shared" ref="K80:K88" si="17">J80</f>
        <v>4782</v>
      </c>
    </row>
    <row r="81" spans="1:11" x14ac:dyDescent="0.45">
      <c r="A81" s="4">
        <v>46001</v>
      </c>
      <c r="B81" s="5" t="s">
        <v>50</v>
      </c>
      <c r="C81" s="5" t="s">
        <v>68</v>
      </c>
      <c r="D81" s="5">
        <v>4661</v>
      </c>
      <c r="E81" s="9" t="s">
        <v>220</v>
      </c>
      <c r="F81" s="9">
        <v>7</v>
      </c>
      <c r="G81" s="5">
        <v>100</v>
      </c>
      <c r="H81" s="19">
        <f t="shared" si="11"/>
        <v>700</v>
      </c>
      <c r="I81" s="19">
        <v>142</v>
      </c>
      <c r="J81" s="19">
        <f t="shared" si="16"/>
        <v>558</v>
      </c>
      <c r="K81" s="19">
        <f t="shared" si="17"/>
        <v>558</v>
      </c>
    </row>
    <row r="82" spans="1:11" x14ac:dyDescent="0.45">
      <c r="A82" s="4">
        <v>46003</v>
      </c>
      <c r="B82" s="5" t="s">
        <v>50</v>
      </c>
      <c r="C82" s="5" t="s">
        <v>68</v>
      </c>
      <c r="D82" s="5">
        <v>5021</v>
      </c>
      <c r="E82" s="9" t="s">
        <v>280</v>
      </c>
      <c r="F82" s="9">
        <v>150</v>
      </c>
      <c r="G82" s="5">
        <v>100</v>
      </c>
      <c r="H82" s="19">
        <f t="shared" si="11"/>
        <v>15000</v>
      </c>
      <c r="I82" s="19">
        <v>3047</v>
      </c>
      <c r="J82" s="19">
        <f t="shared" si="16"/>
        <v>11953</v>
      </c>
      <c r="K82" s="19">
        <f t="shared" si="17"/>
        <v>11953</v>
      </c>
    </row>
    <row r="83" spans="1:11" x14ac:dyDescent="0.45">
      <c r="A83" s="4">
        <v>46008</v>
      </c>
      <c r="B83" s="5" t="s">
        <v>50</v>
      </c>
      <c r="C83" s="5" t="s">
        <v>68</v>
      </c>
      <c r="D83" s="5">
        <v>2201</v>
      </c>
      <c r="E83" s="9" t="s">
        <v>76</v>
      </c>
      <c r="F83" s="9">
        <v>32.5</v>
      </c>
      <c r="G83" s="5">
        <v>100</v>
      </c>
      <c r="H83" s="19">
        <f t="shared" si="11"/>
        <v>3250</v>
      </c>
      <c r="I83" s="19">
        <v>659</v>
      </c>
      <c r="J83" s="19">
        <f t="shared" si="16"/>
        <v>2591</v>
      </c>
      <c r="K83" s="19">
        <f t="shared" si="17"/>
        <v>2591</v>
      </c>
    </row>
    <row r="84" spans="1:11" x14ac:dyDescent="0.45">
      <c r="A84" s="4">
        <v>46010</v>
      </c>
      <c r="B84" s="5" t="s">
        <v>50</v>
      </c>
      <c r="C84" s="5" t="s">
        <v>68</v>
      </c>
      <c r="D84" s="5">
        <v>1343</v>
      </c>
      <c r="E84" s="9" t="s">
        <v>405</v>
      </c>
      <c r="F84" s="9">
        <v>23.1</v>
      </c>
      <c r="G84" s="5">
        <v>50</v>
      </c>
      <c r="H84" s="19">
        <f t="shared" si="11"/>
        <v>1155</v>
      </c>
      <c r="I84" s="19">
        <v>233</v>
      </c>
      <c r="J84" s="19">
        <f t="shared" si="16"/>
        <v>922</v>
      </c>
      <c r="K84" s="19">
        <f t="shared" si="17"/>
        <v>922</v>
      </c>
    </row>
    <row r="85" spans="1:11" x14ac:dyDescent="0.45">
      <c r="A85" s="4">
        <v>46100</v>
      </c>
      <c r="B85" s="5" t="s">
        <v>50</v>
      </c>
      <c r="C85" s="5" t="s">
        <v>68</v>
      </c>
      <c r="D85" s="5">
        <v>1343</v>
      </c>
      <c r="E85" s="9" t="s">
        <v>387</v>
      </c>
      <c r="F85" s="9">
        <v>25.5</v>
      </c>
      <c r="G85" s="5">
        <v>50</v>
      </c>
      <c r="H85" s="19">
        <f t="shared" si="11"/>
        <v>1275</v>
      </c>
      <c r="I85" s="19">
        <v>258</v>
      </c>
      <c r="J85" s="19">
        <f t="shared" si="16"/>
        <v>1017</v>
      </c>
      <c r="K85" s="19">
        <f t="shared" si="17"/>
        <v>1017</v>
      </c>
    </row>
    <row r="86" spans="1:11" x14ac:dyDescent="0.45">
      <c r="A86" s="4">
        <v>46108</v>
      </c>
      <c r="B86" s="5" t="s">
        <v>50</v>
      </c>
      <c r="C86" s="5" t="s">
        <v>68</v>
      </c>
      <c r="D86" s="5">
        <v>4493</v>
      </c>
      <c r="E86" s="9" t="s">
        <v>382</v>
      </c>
      <c r="F86" s="9">
        <v>5</v>
      </c>
      <c r="G86" s="5">
        <v>100</v>
      </c>
      <c r="H86" s="19">
        <f t="shared" si="11"/>
        <v>500</v>
      </c>
      <c r="I86" s="19">
        <v>101</v>
      </c>
      <c r="J86" s="19">
        <f t="shared" si="16"/>
        <v>399</v>
      </c>
      <c r="K86" s="19">
        <f t="shared" si="17"/>
        <v>399</v>
      </c>
    </row>
    <row r="87" spans="1:11" x14ac:dyDescent="0.45">
      <c r="A87" s="4">
        <v>46111</v>
      </c>
      <c r="B87" s="5" t="s">
        <v>50</v>
      </c>
      <c r="C87" s="5" t="s">
        <v>68</v>
      </c>
      <c r="D87" s="5">
        <v>7751</v>
      </c>
      <c r="E87" s="6" t="s">
        <v>35</v>
      </c>
      <c r="F87" s="9">
        <v>80</v>
      </c>
      <c r="G87" s="5">
        <v>100</v>
      </c>
      <c r="H87" s="19">
        <f t="shared" ref="H87:H88" si="18">F87*G87</f>
        <v>8000</v>
      </c>
      <c r="I87" s="19">
        <v>1625</v>
      </c>
      <c r="J87" s="19">
        <f t="shared" si="16"/>
        <v>6375</v>
      </c>
      <c r="K87" s="19">
        <f t="shared" si="17"/>
        <v>6375</v>
      </c>
    </row>
    <row r="88" spans="1:11" x14ac:dyDescent="0.45">
      <c r="A88" s="4">
        <v>46111</v>
      </c>
      <c r="B88" s="5" t="s">
        <v>50</v>
      </c>
      <c r="C88" s="5" t="s">
        <v>68</v>
      </c>
      <c r="D88" s="5">
        <v>1911</v>
      </c>
      <c r="E88" s="9" t="s">
        <v>196</v>
      </c>
      <c r="F88" s="9">
        <v>28</v>
      </c>
      <c r="G88" s="5">
        <v>300</v>
      </c>
      <c r="H88" s="19">
        <f t="shared" si="18"/>
        <v>8400</v>
      </c>
      <c r="I88" s="19">
        <v>1706</v>
      </c>
      <c r="J88" s="19">
        <f t="shared" si="16"/>
        <v>6694</v>
      </c>
      <c r="K88" s="19">
        <f t="shared" si="17"/>
        <v>6694</v>
      </c>
    </row>
  </sheetData>
  <autoFilter ref="A1:K15" xr:uid="{00000000-0009-0000-0000-000003000000}"/>
  <phoneticPr fontId="18"/>
  <pageMargins left="0.7" right="0.7" top="0.75" bottom="0.75" header="0.3" footer="0.3"/>
  <pageSetup paperSize="9" scale="38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79998168889431442"/>
  </sheetPr>
  <dimension ref="A1:AA77"/>
  <sheetViews>
    <sheetView zoomScale="80" zoomScaleNormal="80" workbookViewId="0">
      <pane xSplit="4" ySplit="1" topLeftCell="E58" activePane="bottomRight" state="frozen"/>
      <selection pane="topRight" activeCell="E1" sqref="E1"/>
      <selection pane="bottomLeft" activeCell="A2" sqref="A2"/>
      <selection pane="bottomRight" activeCell="B65" sqref="B65"/>
    </sheetView>
  </sheetViews>
  <sheetFormatPr defaultRowHeight="18" x14ac:dyDescent="0.45"/>
  <cols>
    <col min="1" max="2" width="11.296875" style="1" bestFit="1" customWidth="1"/>
    <col min="3" max="3" width="15.09765625" style="2" bestFit="1" customWidth="1"/>
    <col min="4" max="4" width="21.09765625" bestFit="1" customWidth="1"/>
    <col min="5" max="5" width="13" style="2" bestFit="1" customWidth="1"/>
    <col min="6" max="6" width="16.3984375" style="2" customWidth="1"/>
    <col min="7" max="9" width="13" style="2" bestFit="1" customWidth="1"/>
    <col min="10" max="10" width="15.09765625" style="2" bestFit="1" customWidth="1"/>
    <col min="11" max="11" width="15.09765625" bestFit="1" customWidth="1"/>
    <col min="12" max="14" width="17.09765625" bestFit="1" customWidth="1"/>
    <col min="15" max="15" width="11.19921875" bestFit="1" customWidth="1"/>
    <col min="16" max="16" width="19.19921875" bestFit="1" customWidth="1"/>
    <col min="17" max="17" width="13" style="1" bestFit="1" customWidth="1"/>
    <col min="18" max="18" width="17.09765625" bestFit="1" customWidth="1"/>
    <col min="19" max="19" width="19.19921875" bestFit="1" customWidth="1"/>
    <col min="20" max="20" width="25.3984375" bestFit="1" customWidth="1"/>
    <col min="21" max="22" width="23.296875" bestFit="1" customWidth="1"/>
    <col min="23" max="23" width="39.8984375" bestFit="1" customWidth="1"/>
    <col min="24" max="24" width="25.3984375" bestFit="1" customWidth="1"/>
    <col min="25" max="25" width="11.19921875" bestFit="1" customWidth="1"/>
    <col min="26" max="27" width="29.59765625" bestFit="1" customWidth="1"/>
  </cols>
  <sheetData>
    <row r="1" spans="1:27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3" t="s">
        <v>165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</row>
    <row r="2" spans="1:27" x14ac:dyDescent="0.45">
      <c r="A2" s="4">
        <v>44418</v>
      </c>
      <c r="B2" s="4">
        <v>44420</v>
      </c>
      <c r="C2" s="5">
        <v>4337</v>
      </c>
      <c r="D2" s="9" t="s">
        <v>83</v>
      </c>
      <c r="E2" s="5" t="s">
        <v>67</v>
      </c>
      <c r="F2" s="5" t="s">
        <v>84</v>
      </c>
      <c r="G2" s="5" t="s">
        <v>85</v>
      </c>
      <c r="H2" s="5" t="s">
        <v>86</v>
      </c>
      <c r="I2" s="5" t="s">
        <v>87</v>
      </c>
      <c r="J2" s="5">
        <v>100</v>
      </c>
      <c r="K2" s="7">
        <v>3098</v>
      </c>
      <c r="L2" s="9">
        <v>0</v>
      </c>
      <c r="M2" s="9">
        <v>0</v>
      </c>
      <c r="N2" s="9">
        <v>0</v>
      </c>
      <c r="O2" s="9" t="s">
        <v>31</v>
      </c>
      <c r="P2" s="19">
        <v>0</v>
      </c>
      <c r="Q2" s="6" t="s">
        <v>31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0</v>
      </c>
    </row>
    <row r="3" spans="1:27" x14ac:dyDescent="0.45">
      <c r="A3" s="4">
        <v>44425</v>
      </c>
      <c r="B3" s="4">
        <v>44427</v>
      </c>
      <c r="C3" s="5">
        <v>4337</v>
      </c>
      <c r="D3" s="9" t="s">
        <v>83</v>
      </c>
      <c r="E3" s="5" t="s">
        <v>67</v>
      </c>
      <c r="F3" s="5" t="s">
        <v>88</v>
      </c>
      <c r="G3" s="5" t="s">
        <v>89</v>
      </c>
      <c r="H3" s="5" t="s">
        <v>86</v>
      </c>
      <c r="I3" s="5" t="s">
        <v>87</v>
      </c>
      <c r="J3" s="5">
        <v>100</v>
      </c>
      <c r="K3" s="7">
        <v>3190</v>
      </c>
      <c r="L3" s="9">
        <v>0</v>
      </c>
      <c r="M3" s="9">
        <v>0</v>
      </c>
      <c r="N3" s="9">
        <v>109</v>
      </c>
      <c r="O3" s="9" t="s">
        <v>90</v>
      </c>
      <c r="P3" s="19">
        <v>-9309</v>
      </c>
      <c r="Q3" s="4">
        <v>44418</v>
      </c>
      <c r="R3" s="7">
        <v>3098</v>
      </c>
      <c r="S3" s="9">
        <v>0</v>
      </c>
      <c r="T3" s="9">
        <v>0</v>
      </c>
      <c r="U3" s="9">
        <v>0</v>
      </c>
      <c r="V3" s="9">
        <v>0</v>
      </c>
      <c r="W3" s="9">
        <v>35</v>
      </c>
      <c r="X3" s="9">
        <v>0</v>
      </c>
      <c r="Y3" s="9">
        <v>74</v>
      </c>
      <c r="Z3" s="9">
        <v>0</v>
      </c>
      <c r="AA3" s="9">
        <v>0</v>
      </c>
    </row>
    <row r="4" spans="1:27" x14ac:dyDescent="0.45">
      <c r="A4" s="4">
        <v>44428</v>
      </c>
      <c r="B4" s="4">
        <v>44432</v>
      </c>
      <c r="C4" s="5">
        <v>9104</v>
      </c>
      <c r="D4" s="9" t="s">
        <v>91</v>
      </c>
      <c r="E4" s="5" t="s">
        <v>67</v>
      </c>
      <c r="F4" s="5" t="s">
        <v>84</v>
      </c>
      <c r="G4" s="5" t="s">
        <v>85</v>
      </c>
      <c r="H4" s="5" t="s">
        <v>86</v>
      </c>
      <c r="I4" s="5" t="s">
        <v>87</v>
      </c>
      <c r="J4" s="5">
        <v>100</v>
      </c>
      <c r="K4" s="7">
        <v>6410</v>
      </c>
      <c r="L4" s="9">
        <v>721</v>
      </c>
      <c r="M4" s="9">
        <v>73</v>
      </c>
      <c r="N4" s="9">
        <v>0</v>
      </c>
      <c r="O4" s="9" t="s">
        <v>31</v>
      </c>
      <c r="P4" s="19">
        <v>0</v>
      </c>
      <c r="Q4" s="6" t="s">
        <v>31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</row>
    <row r="5" spans="1:27" x14ac:dyDescent="0.45">
      <c r="A5" s="4">
        <v>44428</v>
      </c>
      <c r="B5" s="4">
        <v>44432</v>
      </c>
      <c r="C5" s="5">
        <v>9107</v>
      </c>
      <c r="D5" s="9" t="s">
        <v>92</v>
      </c>
      <c r="E5" s="5" t="s">
        <v>67</v>
      </c>
      <c r="F5" s="5" t="s">
        <v>84</v>
      </c>
      <c r="G5" s="5" t="s">
        <v>85</v>
      </c>
      <c r="H5" s="5" t="s">
        <v>86</v>
      </c>
      <c r="I5" s="5" t="s">
        <v>87</v>
      </c>
      <c r="J5" s="5">
        <v>100</v>
      </c>
      <c r="K5" s="7">
        <v>4530</v>
      </c>
      <c r="L5" s="9">
        <v>509</v>
      </c>
      <c r="M5" s="9">
        <v>50</v>
      </c>
      <c r="N5" s="9">
        <v>0</v>
      </c>
      <c r="O5" s="9" t="s">
        <v>31</v>
      </c>
      <c r="P5" s="19">
        <v>0</v>
      </c>
      <c r="Q5" s="6" t="s">
        <v>31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</row>
    <row r="6" spans="1:27" x14ac:dyDescent="0.45">
      <c r="A6" s="4">
        <v>44431</v>
      </c>
      <c r="B6" s="4">
        <v>44433</v>
      </c>
      <c r="C6" s="5">
        <v>9104</v>
      </c>
      <c r="D6" s="9" t="s">
        <v>91</v>
      </c>
      <c r="E6" s="5" t="s">
        <v>67</v>
      </c>
      <c r="F6" s="5" t="s">
        <v>88</v>
      </c>
      <c r="G6" s="5" t="s">
        <v>89</v>
      </c>
      <c r="H6" s="5" t="s">
        <v>86</v>
      </c>
      <c r="I6" s="5" t="s">
        <v>87</v>
      </c>
      <c r="J6" s="5">
        <v>100</v>
      </c>
      <c r="K6" s="7">
        <v>6696</v>
      </c>
      <c r="L6" s="9">
        <v>733</v>
      </c>
      <c r="M6" s="9">
        <v>73</v>
      </c>
      <c r="N6" s="9">
        <v>38</v>
      </c>
      <c r="O6" s="9" t="s">
        <v>90</v>
      </c>
      <c r="P6" s="19">
        <v>-30238</v>
      </c>
      <c r="Q6" s="4">
        <v>44428</v>
      </c>
      <c r="R6" s="7">
        <v>6410</v>
      </c>
      <c r="S6" s="9">
        <v>721</v>
      </c>
      <c r="T6" s="9">
        <v>73</v>
      </c>
      <c r="U6" s="9">
        <v>0</v>
      </c>
      <c r="V6" s="9">
        <v>0</v>
      </c>
      <c r="W6" s="9">
        <v>0</v>
      </c>
      <c r="X6" s="9">
        <v>0</v>
      </c>
      <c r="Y6" s="9">
        <v>38</v>
      </c>
      <c r="Z6" s="9">
        <v>0</v>
      </c>
      <c r="AA6" s="9">
        <v>0</v>
      </c>
    </row>
    <row r="7" spans="1:27" x14ac:dyDescent="0.45">
      <c r="A7" s="4">
        <v>44431</v>
      </c>
      <c r="B7" s="4">
        <v>44433</v>
      </c>
      <c r="C7" s="5">
        <v>9107</v>
      </c>
      <c r="D7" s="9" t="s">
        <v>92</v>
      </c>
      <c r="E7" s="5" t="s">
        <v>67</v>
      </c>
      <c r="F7" s="5" t="s">
        <v>88</v>
      </c>
      <c r="G7" s="5" t="s">
        <v>89</v>
      </c>
      <c r="H7" s="5" t="s">
        <v>86</v>
      </c>
      <c r="I7" s="5" t="s">
        <v>87</v>
      </c>
      <c r="J7" s="5">
        <v>100</v>
      </c>
      <c r="K7" s="7">
        <v>4710</v>
      </c>
      <c r="L7" s="9">
        <v>515</v>
      </c>
      <c r="M7" s="9">
        <v>51</v>
      </c>
      <c r="N7" s="9">
        <v>27</v>
      </c>
      <c r="O7" s="9" t="s">
        <v>90</v>
      </c>
      <c r="P7" s="19">
        <v>-19152</v>
      </c>
      <c r="Q7" s="4">
        <v>44428</v>
      </c>
      <c r="R7" s="7">
        <v>4530</v>
      </c>
      <c r="S7" s="9">
        <v>509</v>
      </c>
      <c r="T7" s="9">
        <v>50</v>
      </c>
      <c r="U7" s="9">
        <v>0</v>
      </c>
      <c r="V7" s="9">
        <v>0</v>
      </c>
      <c r="W7" s="9">
        <v>0</v>
      </c>
      <c r="X7" s="9">
        <v>0</v>
      </c>
      <c r="Y7" s="9">
        <v>27</v>
      </c>
      <c r="Z7" s="9">
        <v>0</v>
      </c>
      <c r="AA7" s="9">
        <v>0</v>
      </c>
    </row>
    <row r="8" spans="1:27" x14ac:dyDescent="0.45">
      <c r="A8" s="4">
        <v>44447</v>
      </c>
      <c r="B8" s="4">
        <v>44449</v>
      </c>
      <c r="C8" s="5">
        <v>9984</v>
      </c>
      <c r="D8" s="9" t="s">
        <v>93</v>
      </c>
      <c r="E8" s="5" t="s">
        <v>67</v>
      </c>
      <c r="F8" s="5" t="s">
        <v>88</v>
      </c>
      <c r="G8" s="5" t="s">
        <v>89</v>
      </c>
      <c r="H8" s="5" t="s">
        <v>86</v>
      </c>
      <c r="I8" s="5" t="s">
        <v>87</v>
      </c>
      <c r="J8" s="5">
        <v>100</v>
      </c>
      <c r="K8" s="7">
        <v>7300</v>
      </c>
      <c r="L8" s="9">
        <v>350</v>
      </c>
      <c r="M8" s="9">
        <v>35</v>
      </c>
      <c r="N8" s="9">
        <v>21</v>
      </c>
      <c r="O8" s="9" t="s">
        <v>90</v>
      </c>
      <c r="P8" s="19">
        <v>-19491</v>
      </c>
      <c r="Q8" s="4">
        <v>44447</v>
      </c>
      <c r="R8" s="7">
        <v>7113</v>
      </c>
      <c r="S8" s="9">
        <v>350</v>
      </c>
      <c r="T8" s="9">
        <v>35</v>
      </c>
      <c r="U8" s="9">
        <v>0</v>
      </c>
      <c r="V8" s="9">
        <v>0</v>
      </c>
      <c r="W8" s="9">
        <v>0</v>
      </c>
      <c r="X8" s="9">
        <v>0</v>
      </c>
      <c r="Y8" s="9">
        <v>21</v>
      </c>
      <c r="Z8" s="9">
        <v>0</v>
      </c>
      <c r="AA8" s="9">
        <v>0</v>
      </c>
    </row>
    <row r="9" spans="1:27" x14ac:dyDescent="0.45">
      <c r="A9" s="4">
        <v>44447</v>
      </c>
      <c r="B9" s="4">
        <v>44449</v>
      </c>
      <c r="C9" s="5">
        <v>9984</v>
      </c>
      <c r="D9" s="9" t="s">
        <v>93</v>
      </c>
      <c r="E9" s="5" t="s">
        <v>67</v>
      </c>
      <c r="F9" s="5" t="s">
        <v>84</v>
      </c>
      <c r="G9" s="5" t="s">
        <v>85</v>
      </c>
      <c r="H9" s="5" t="s">
        <v>86</v>
      </c>
      <c r="I9" s="5" t="s">
        <v>87</v>
      </c>
      <c r="J9" s="5">
        <v>100</v>
      </c>
      <c r="K9" s="7">
        <v>7113</v>
      </c>
      <c r="L9" s="9">
        <v>350</v>
      </c>
      <c r="M9" s="9">
        <v>35</v>
      </c>
      <c r="N9" s="9">
        <v>0</v>
      </c>
      <c r="O9" s="9" t="s">
        <v>31</v>
      </c>
      <c r="P9" s="19">
        <v>0</v>
      </c>
      <c r="Q9" s="6" t="s">
        <v>31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</row>
    <row r="10" spans="1:27" x14ac:dyDescent="0.45">
      <c r="A10" s="4">
        <v>44469</v>
      </c>
      <c r="B10" s="4">
        <v>44473</v>
      </c>
      <c r="C10" s="5">
        <v>9101</v>
      </c>
      <c r="D10" s="9" t="s">
        <v>94</v>
      </c>
      <c r="E10" s="5" t="s">
        <v>67</v>
      </c>
      <c r="F10" s="5" t="s">
        <v>88</v>
      </c>
      <c r="G10" s="5" t="s">
        <v>89</v>
      </c>
      <c r="H10" s="5" t="s">
        <v>86</v>
      </c>
      <c r="I10" s="5" t="s">
        <v>87</v>
      </c>
      <c r="J10" s="5">
        <v>100</v>
      </c>
      <c r="K10" s="7">
        <v>8509</v>
      </c>
      <c r="L10" s="9">
        <v>350</v>
      </c>
      <c r="M10" s="9">
        <v>35</v>
      </c>
      <c r="N10" s="9">
        <v>25</v>
      </c>
      <c r="O10" s="9" t="s">
        <v>90</v>
      </c>
      <c r="P10" s="19">
        <v>4305</v>
      </c>
      <c r="Q10" s="4">
        <v>44469</v>
      </c>
      <c r="R10" s="7">
        <v>8560</v>
      </c>
      <c r="S10" s="9">
        <v>350</v>
      </c>
      <c r="T10" s="9">
        <v>35</v>
      </c>
      <c r="U10" s="9">
        <v>0</v>
      </c>
      <c r="V10" s="9">
        <v>0</v>
      </c>
      <c r="W10" s="9">
        <v>0</v>
      </c>
      <c r="X10" s="9">
        <v>0</v>
      </c>
      <c r="Y10" s="9">
        <v>25</v>
      </c>
      <c r="Z10" s="9">
        <v>0</v>
      </c>
      <c r="AA10" s="9">
        <v>0</v>
      </c>
    </row>
    <row r="11" spans="1:27" x14ac:dyDescent="0.45">
      <c r="A11" s="4">
        <v>44469</v>
      </c>
      <c r="B11" s="4">
        <v>44473</v>
      </c>
      <c r="C11" s="5">
        <v>9101</v>
      </c>
      <c r="D11" s="9" t="s">
        <v>94</v>
      </c>
      <c r="E11" s="5" t="s">
        <v>67</v>
      </c>
      <c r="F11" s="5" t="s">
        <v>84</v>
      </c>
      <c r="G11" s="5" t="s">
        <v>85</v>
      </c>
      <c r="H11" s="5" t="s">
        <v>86</v>
      </c>
      <c r="I11" s="5" t="s">
        <v>87</v>
      </c>
      <c r="J11" s="5">
        <v>100</v>
      </c>
      <c r="K11" s="7">
        <v>8560</v>
      </c>
      <c r="L11" s="9">
        <v>350</v>
      </c>
      <c r="M11" s="9">
        <v>35</v>
      </c>
      <c r="N11" s="9">
        <v>0</v>
      </c>
      <c r="O11" s="9" t="s">
        <v>31</v>
      </c>
      <c r="P11" s="19">
        <v>0</v>
      </c>
      <c r="Q11" s="6" t="s">
        <v>31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0</v>
      </c>
      <c r="Y11" s="9">
        <v>0</v>
      </c>
      <c r="Z11" s="9">
        <v>0</v>
      </c>
      <c r="AA11" s="9">
        <v>0</v>
      </c>
    </row>
    <row r="12" spans="1:27" x14ac:dyDescent="0.45">
      <c r="A12" s="4">
        <v>44469</v>
      </c>
      <c r="B12" s="4">
        <v>44473</v>
      </c>
      <c r="C12" s="5">
        <v>9101</v>
      </c>
      <c r="D12" s="9" t="s">
        <v>94</v>
      </c>
      <c r="E12" s="5" t="s">
        <v>67</v>
      </c>
      <c r="F12" s="5" t="s">
        <v>84</v>
      </c>
      <c r="G12" s="5" t="s">
        <v>85</v>
      </c>
      <c r="H12" s="5" t="s">
        <v>86</v>
      </c>
      <c r="I12" s="5" t="s">
        <v>87</v>
      </c>
      <c r="J12" s="5">
        <v>100</v>
      </c>
      <c r="K12" s="7">
        <v>8490</v>
      </c>
      <c r="L12" s="9">
        <v>350</v>
      </c>
      <c r="M12" s="9">
        <v>35</v>
      </c>
      <c r="N12" s="9">
        <v>0</v>
      </c>
      <c r="O12" s="9" t="s">
        <v>31</v>
      </c>
      <c r="P12" s="19">
        <v>0</v>
      </c>
      <c r="Q12" s="6" t="s">
        <v>31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</row>
    <row r="13" spans="1:27" x14ac:dyDescent="0.45">
      <c r="A13" s="4">
        <v>44470</v>
      </c>
      <c r="B13" s="4">
        <v>44474</v>
      </c>
      <c r="C13" s="5">
        <v>9101</v>
      </c>
      <c r="D13" s="9" t="s">
        <v>94</v>
      </c>
      <c r="E13" s="5" t="s">
        <v>67</v>
      </c>
      <c r="F13" s="5" t="s">
        <v>88</v>
      </c>
      <c r="G13" s="5" t="s">
        <v>89</v>
      </c>
      <c r="H13" s="5" t="s">
        <v>86</v>
      </c>
      <c r="I13" s="5" t="s">
        <v>87</v>
      </c>
      <c r="J13" s="5">
        <v>100</v>
      </c>
      <c r="K13" s="7">
        <v>8490</v>
      </c>
      <c r="L13" s="9">
        <v>350</v>
      </c>
      <c r="M13" s="9">
        <v>35</v>
      </c>
      <c r="N13" s="9">
        <v>51</v>
      </c>
      <c r="O13" s="9" t="s">
        <v>90</v>
      </c>
      <c r="P13" s="19">
        <v>-821</v>
      </c>
      <c r="Q13" s="4">
        <v>44469</v>
      </c>
      <c r="R13" s="7">
        <v>8490</v>
      </c>
      <c r="S13" s="9">
        <v>350</v>
      </c>
      <c r="T13" s="9">
        <v>35</v>
      </c>
      <c r="U13" s="9">
        <v>0</v>
      </c>
      <c r="V13" s="9">
        <v>0</v>
      </c>
      <c r="W13" s="9">
        <v>0</v>
      </c>
      <c r="X13" s="9">
        <v>0</v>
      </c>
      <c r="Y13" s="9">
        <v>51</v>
      </c>
      <c r="Z13" s="9">
        <v>0</v>
      </c>
      <c r="AA13" s="9">
        <v>0</v>
      </c>
    </row>
    <row r="14" spans="1:27" x14ac:dyDescent="0.45">
      <c r="A14" s="4">
        <v>44470</v>
      </c>
      <c r="B14" s="4">
        <v>44474</v>
      </c>
      <c r="C14" s="5">
        <v>9101</v>
      </c>
      <c r="D14" s="9" t="s">
        <v>94</v>
      </c>
      <c r="E14" s="5" t="s">
        <v>67</v>
      </c>
      <c r="F14" s="5" t="s">
        <v>84</v>
      </c>
      <c r="G14" s="5" t="s">
        <v>85</v>
      </c>
      <c r="H14" s="5" t="s">
        <v>86</v>
      </c>
      <c r="I14" s="5" t="s">
        <v>87</v>
      </c>
      <c r="J14" s="5">
        <v>100</v>
      </c>
      <c r="K14" s="7">
        <v>8346</v>
      </c>
      <c r="L14" s="9">
        <v>350</v>
      </c>
      <c r="M14" s="9">
        <v>35</v>
      </c>
      <c r="N14" s="9">
        <v>0</v>
      </c>
      <c r="O14" s="9" t="s">
        <v>31</v>
      </c>
      <c r="P14" s="19">
        <v>0</v>
      </c>
      <c r="Q14" s="6" t="s">
        <v>31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9">
        <v>0</v>
      </c>
      <c r="Z14" s="9">
        <v>0</v>
      </c>
      <c r="AA14" s="9">
        <v>0</v>
      </c>
    </row>
    <row r="15" spans="1:27" x14ac:dyDescent="0.45">
      <c r="A15" s="4">
        <v>44473</v>
      </c>
      <c r="B15" s="4">
        <v>44475</v>
      </c>
      <c r="C15" s="5">
        <v>9101</v>
      </c>
      <c r="D15" s="9" t="s">
        <v>94</v>
      </c>
      <c r="E15" s="5" t="s">
        <v>67</v>
      </c>
      <c r="F15" s="5" t="s">
        <v>88</v>
      </c>
      <c r="G15" s="5" t="s">
        <v>89</v>
      </c>
      <c r="H15" s="5" t="s">
        <v>86</v>
      </c>
      <c r="I15" s="5" t="s">
        <v>87</v>
      </c>
      <c r="J15" s="5">
        <v>100</v>
      </c>
      <c r="K15" s="7">
        <v>7790</v>
      </c>
      <c r="L15" s="9">
        <v>350</v>
      </c>
      <c r="M15" s="9">
        <v>35</v>
      </c>
      <c r="N15" s="9">
        <v>50</v>
      </c>
      <c r="O15" s="9" t="s">
        <v>90</v>
      </c>
      <c r="P15" s="19">
        <v>54780</v>
      </c>
      <c r="Q15" s="4">
        <v>44470</v>
      </c>
      <c r="R15" s="7">
        <v>8346</v>
      </c>
      <c r="S15" s="9">
        <v>350</v>
      </c>
      <c r="T15" s="9">
        <v>35</v>
      </c>
      <c r="U15" s="9">
        <v>0</v>
      </c>
      <c r="V15" s="9">
        <v>0</v>
      </c>
      <c r="W15" s="9">
        <v>0</v>
      </c>
      <c r="X15" s="9">
        <v>0</v>
      </c>
      <c r="Y15" s="9">
        <v>50</v>
      </c>
      <c r="Z15" s="9">
        <v>0</v>
      </c>
      <c r="AA15" s="9">
        <v>0</v>
      </c>
    </row>
    <row r="16" spans="1:27" x14ac:dyDescent="0.45">
      <c r="A16" s="4">
        <v>44473</v>
      </c>
      <c r="B16" s="4">
        <v>44475</v>
      </c>
      <c r="C16" s="5">
        <v>9810</v>
      </c>
      <c r="D16" s="9" t="s">
        <v>74</v>
      </c>
      <c r="E16" s="5" t="s">
        <v>67</v>
      </c>
      <c r="F16" s="5" t="s">
        <v>84</v>
      </c>
      <c r="G16" s="5" t="s">
        <v>85</v>
      </c>
      <c r="H16" s="5" t="s">
        <v>86</v>
      </c>
      <c r="I16" s="5" t="s">
        <v>87</v>
      </c>
      <c r="J16" s="5">
        <v>100</v>
      </c>
      <c r="K16" s="7">
        <v>4920</v>
      </c>
      <c r="L16" s="9">
        <v>180</v>
      </c>
      <c r="M16" s="9">
        <v>18</v>
      </c>
      <c r="N16" s="9">
        <v>0</v>
      </c>
      <c r="O16" s="9" t="s">
        <v>31</v>
      </c>
      <c r="P16" s="19">
        <v>0</v>
      </c>
      <c r="Q16" s="6" t="s">
        <v>31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9">
        <v>0</v>
      </c>
    </row>
    <row r="17" spans="1:27" x14ac:dyDescent="0.45">
      <c r="A17" s="4">
        <v>44474</v>
      </c>
      <c r="B17" s="4">
        <v>44476</v>
      </c>
      <c r="C17" s="5">
        <v>9104</v>
      </c>
      <c r="D17" s="9" t="s">
        <v>91</v>
      </c>
      <c r="E17" s="5" t="s">
        <v>67</v>
      </c>
      <c r="F17" s="5" t="s">
        <v>88</v>
      </c>
      <c r="G17" s="5" t="s">
        <v>89</v>
      </c>
      <c r="H17" s="5" t="s">
        <v>86</v>
      </c>
      <c r="I17" s="5" t="s">
        <v>87</v>
      </c>
      <c r="J17" s="5">
        <v>100</v>
      </c>
      <c r="K17" s="7">
        <v>6990</v>
      </c>
      <c r="L17" s="9">
        <v>350</v>
      </c>
      <c r="M17" s="9">
        <v>35</v>
      </c>
      <c r="N17" s="9">
        <v>19</v>
      </c>
      <c r="O17" s="9" t="s">
        <v>90</v>
      </c>
      <c r="P17" s="19">
        <v>-51789</v>
      </c>
      <c r="Q17" s="4">
        <v>44474</v>
      </c>
      <c r="R17" s="7">
        <v>6480</v>
      </c>
      <c r="S17" s="9">
        <v>350</v>
      </c>
      <c r="T17" s="9">
        <v>35</v>
      </c>
      <c r="U17" s="9">
        <v>0</v>
      </c>
      <c r="V17" s="9">
        <v>0</v>
      </c>
      <c r="W17" s="9">
        <v>0</v>
      </c>
      <c r="X17" s="9">
        <v>0</v>
      </c>
      <c r="Y17" s="9">
        <v>19</v>
      </c>
      <c r="Z17" s="9">
        <v>0</v>
      </c>
      <c r="AA17" s="9">
        <v>0</v>
      </c>
    </row>
    <row r="18" spans="1:27" x14ac:dyDescent="0.45">
      <c r="A18" s="4">
        <v>44474</v>
      </c>
      <c r="B18" s="4">
        <v>44476</v>
      </c>
      <c r="C18" s="5">
        <v>9104</v>
      </c>
      <c r="D18" s="9" t="s">
        <v>91</v>
      </c>
      <c r="E18" s="5" t="s">
        <v>67</v>
      </c>
      <c r="F18" s="5" t="s">
        <v>84</v>
      </c>
      <c r="G18" s="5" t="s">
        <v>85</v>
      </c>
      <c r="H18" s="5" t="s">
        <v>86</v>
      </c>
      <c r="I18" s="5" t="s">
        <v>87</v>
      </c>
      <c r="J18" s="5">
        <v>100</v>
      </c>
      <c r="K18" s="7">
        <v>6480</v>
      </c>
      <c r="L18" s="9">
        <v>350</v>
      </c>
      <c r="M18" s="9">
        <v>35</v>
      </c>
      <c r="N18" s="9">
        <v>0</v>
      </c>
      <c r="O18" s="9" t="s">
        <v>31</v>
      </c>
      <c r="P18" s="19">
        <v>0</v>
      </c>
      <c r="Q18" s="6" t="s">
        <v>31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9">
        <v>0</v>
      </c>
      <c r="Z18" s="9">
        <v>0</v>
      </c>
      <c r="AA18" s="9">
        <v>0</v>
      </c>
    </row>
    <row r="19" spans="1:27" x14ac:dyDescent="0.45">
      <c r="A19" s="4">
        <v>44475</v>
      </c>
      <c r="B19" s="4">
        <v>44477</v>
      </c>
      <c r="C19" s="5">
        <v>9810</v>
      </c>
      <c r="D19" s="9" t="s">
        <v>74</v>
      </c>
      <c r="E19" s="5" t="s">
        <v>67</v>
      </c>
      <c r="F19" s="5" t="s">
        <v>88</v>
      </c>
      <c r="G19" s="5" t="s">
        <v>89</v>
      </c>
      <c r="H19" s="5" t="s">
        <v>86</v>
      </c>
      <c r="I19" s="5" t="s">
        <v>87</v>
      </c>
      <c r="J19" s="5">
        <v>100</v>
      </c>
      <c r="K19" s="7">
        <v>4905</v>
      </c>
      <c r="L19" s="9">
        <v>180</v>
      </c>
      <c r="M19" s="9">
        <v>18</v>
      </c>
      <c r="N19" s="9">
        <v>44</v>
      </c>
      <c r="O19" s="9" t="s">
        <v>90</v>
      </c>
      <c r="P19" s="19">
        <v>1060</v>
      </c>
      <c r="Q19" s="4">
        <v>44473</v>
      </c>
      <c r="R19" s="7">
        <v>4920</v>
      </c>
      <c r="S19" s="9">
        <v>180</v>
      </c>
      <c r="T19" s="9">
        <v>18</v>
      </c>
      <c r="U19" s="9">
        <v>0</v>
      </c>
      <c r="V19" s="9">
        <v>0</v>
      </c>
      <c r="W19" s="9">
        <v>0</v>
      </c>
      <c r="X19" s="9">
        <v>0</v>
      </c>
      <c r="Y19" s="9">
        <v>44</v>
      </c>
      <c r="Z19" s="9">
        <v>0</v>
      </c>
      <c r="AA19" s="9">
        <v>0</v>
      </c>
    </row>
    <row r="20" spans="1:27" x14ac:dyDescent="0.45">
      <c r="A20" s="4">
        <v>44476</v>
      </c>
      <c r="B20" s="4">
        <v>44480</v>
      </c>
      <c r="C20" s="5">
        <v>4337</v>
      </c>
      <c r="D20" s="9" t="s">
        <v>83</v>
      </c>
      <c r="E20" s="5" t="s">
        <v>67</v>
      </c>
      <c r="F20" s="5" t="s">
        <v>84</v>
      </c>
      <c r="G20" s="5" t="s">
        <v>85</v>
      </c>
      <c r="H20" s="5" t="s">
        <v>86</v>
      </c>
      <c r="I20" s="5" t="s">
        <v>87</v>
      </c>
      <c r="J20" s="5">
        <v>100</v>
      </c>
      <c r="K20" s="7">
        <v>3735</v>
      </c>
      <c r="L20" s="9">
        <v>180</v>
      </c>
      <c r="M20" s="9">
        <v>18</v>
      </c>
      <c r="N20" s="9">
        <v>0</v>
      </c>
      <c r="O20" s="9" t="s">
        <v>31</v>
      </c>
      <c r="P20" s="19">
        <v>0</v>
      </c>
      <c r="Q20" s="6" t="s">
        <v>31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9">
        <v>0</v>
      </c>
    </row>
    <row r="21" spans="1:27" x14ac:dyDescent="0.45">
      <c r="A21" s="4">
        <v>44531</v>
      </c>
      <c r="B21" s="4">
        <v>44533</v>
      </c>
      <c r="C21" s="5">
        <v>4337</v>
      </c>
      <c r="D21" s="9" t="s">
        <v>83</v>
      </c>
      <c r="E21" s="5" t="s">
        <v>67</v>
      </c>
      <c r="F21" s="5" t="s">
        <v>88</v>
      </c>
      <c r="G21" s="5" t="s">
        <v>89</v>
      </c>
      <c r="H21" s="5" t="s">
        <v>86</v>
      </c>
      <c r="I21" s="5" t="s">
        <v>87</v>
      </c>
      <c r="J21" s="5">
        <v>100</v>
      </c>
      <c r="K21" s="7">
        <v>3700</v>
      </c>
      <c r="L21" s="9">
        <v>180</v>
      </c>
      <c r="M21" s="9">
        <v>28</v>
      </c>
      <c r="N21" s="8">
        <v>1217</v>
      </c>
      <c r="O21" s="9" t="s">
        <v>90</v>
      </c>
      <c r="P21" s="19">
        <v>1877</v>
      </c>
      <c r="Q21" s="4">
        <v>44476</v>
      </c>
      <c r="R21" s="7">
        <v>3735</v>
      </c>
      <c r="S21" s="9">
        <v>180</v>
      </c>
      <c r="T21" s="9">
        <v>18</v>
      </c>
      <c r="U21" s="9">
        <v>0</v>
      </c>
      <c r="V21" s="9">
        <v>0</v>
      </c>
      <c r="W21" s="9">
        <v>510</v>
      </c>
      <c r="X21" s="9">
        <v>0</v>
      </c>
      <c r="Y21" s="9">
        <v>607</v>
      </c>
      <c r="Z21" s="9">
        <v>100</v>
      </c>
      <c r="AA21" s="9">
        <v>0</v>
      </c>
    </row>
    <row r="22" spans="1:27" x14ac:dyDescent="0.45">
      <c r="A22" s="4">
        <v>44650</v>
      </c>
      <c r="B22" s="4">
        <v>44652</v>
      </c>
      <c r="C22" s="5">
        <v>9101</v>
      </c>
      <c r="D22" s="9" t="s">
        <v>94</v>
      </c>
      <c r="E22" s="5" t="s">
        <v>67</v>
      </c>
      <c r="F22" s="5" t="s">
        <v>84</v>
      </c>
      <c r="G22" s="5" t="s">
        <v>85</v>
      </c>
      <c r="H22" s="5" t="s">
        <v>86</v>
      </c>
      <c r="I22" s="5" t="s">
        <v>87</v>
      </c>
      <c r="J22" s="5">
        <v>100</v>
      </c>
      <c r="K22" s="7">
        <v>9910</v>
      </c>
      <c r="L22" s="9">
        <v>350</v>
      </c>
      <c r="M22" s="9">
        <v>35</v>
      </c>
      <c r="N22" s="9">
        <v>0</v>
      </c>
      <c r="O22" s="9" t="s">
        <v>31</v>
      </c>
      <c r="P22" s="19">
        <v>0</v>
      </c>
      <c r="Q22" s="6" t="s">
        <v>31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  <c r="W22" s="9">
        <v>0</v>
      </c>
      <c r="X22" s="9">
        <v>0</v>
      </c>
      <c r="Y22" s="9">
        <v>0</v>
      </c>
      <c r="Z22" s="9">
        <v>0</v>
      </c>
      <c r="AA22" s="9">
        <v>0</v>
      </c>
    </row>
    <row r="23" spans="1:27" x14ac:dyDescent="0.45">
      <c r="A23" s="4">
        <v>44650</v>
      </c>
      <c r="B23" s="4">
        <v>44652</v>
      </c>
      <c r="C23" s="5">
        <v>9433</v>
      </c>
      <c r="D23" s="9" t="s">
        <v>71</v>
      </c>
      <c r="E23" s="5" t="s">
        <v>67</v>
      </c>
      <c r="F23" s="5" t="s">
        <v>84</v>
      </c>
      <c r="G23" s="5" t="s">
        <v>85</v>
      </c>
      <c r="H23" s="5" t="s">
        <v>86</v>
      </c>
      <c r="I23" s="5" t="s">
        <v>87</v>
      </c>
      <c r="J23" s="5">
        <v>100</v>
      </c>
      <c r="K23" s="7">
        <v>3951.4</v>
      </c>
      <c r="L23" s="9">
        <v>180</v>
      </c>
      <c r="M23" s="9">
        <v>18</v>
      </c>
      <c r="N23" s="9">
        <v>0</v>
      </c>
      <c r="O23" s="9" t="s">
        <v>31</v>
      </c>
      <c r="P23" s="19">
        <v>0</v>
      </c>
      <c r="Q23" s="6" t="s">
        <v>31</v>
      </c>
      <c r="R23" s="9">
        <v>0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</row>
    <row r="24" spans="1:27" x14ac:dyDescent="0.45">
      <c r="A24" s="4">
        <v>44650</v>
      </c>
      <c r="B24" s="4">
        <v>44652</v>
      </c>
      <c r="C24" s="5">
        <v>9810</v>
      </c>
      <c r="D24" s="9" t="s">
        <v>74</v>
      </c>
      <c r="E24" s="5" t="s">
        <v>67</v>
      </c>
      <c r="F24" s="5" t="s">
        <v>84</v>
      </c>
      <c r="G24" s="5" t="s">
        <v>85</v>
      </c>
      <c r="H24" s="5" t="s">
        <v>86</v>
      </c>
      <c r="I24" s="5" t="s">
        <v>87</v>
      </c>
      <c r="J24" s="5">
        <v>100</v>
      </c>
      <c r="K24" s="7">
        <v>5244</v>
      </c>
      <c r="L24" s="9">
        <v>350</v>
      </c>
      <c r="M24" s="9">
        <v>35</v>
      </c>
      <c r="N24" s="9">
        <v>0</v>
      </c>
      <c r="O24" s="9" t="s">
        <v>31</v>
      </c>
      <c r="P24" s="19">
        <v>0</v>
      </c>
      <c r="Q24" s="6" t="s">
        <v>31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</row>
    <row r="25" spans="1:27" x14ac:dyDescent="0.45">
      <c r="A25" s="4">
        <v>44662</v>
      </c>
      <c r="B25" s="4">
        <v>44664</v>
      </c>
      <c r="C25" s="5">
        <v>4452</v>
      </c>
      <c r="D25" s="9" t="s">
        <v>95</v>
      </c>
      <c r="E25" s="5" t="s">
        <v>67</v>
      </c>
      <c r="F25" s="5" t="s">
        <v>84</v>
      </c>
      <c r="G25" s="5" t="s">
        <v>85</v>
      </c>
      <c r="H25" s="5" t="s">
        <v>86</v>
      </c>
      <c r="I25" s="5" t="s">
        <v>87</v>
      </c>
      <c r="J25" s="5">
        <v>100</v>
      </c>
      <c r="K25" s="7">
        <v>4870.1000000000004</v>
      </c>
      <c r="L25" s="9">
        <v>180</v>
      </c>
      <c r="M25" s="9">
        <v>18</v>
      </c>
      <c r="N25" s="9">
        <v>0</v>
      </c>
      <c r="O25" s="9" t="s">
        <v>31</v>
      </c>
      <c r="P25" s="19">
        <v>0</v>
      </c>
      <c r="Q25" s="6" t="s">
        <v>31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</row>
    <row r="26" spans="1:27" x14ac:dyDescent="0.45">
      <c r="A26" s="4">
        <v>44662</v>
      </c>
      <c r="B26" s="4">
        <v>44664</v>
      </c>
      <c r="C26" s="5">
        <v>9107</v>
      </c>
      <c r="D26" s="9" t="s">
        <v>92</v>
      </c>
      <c r="E26" s="5" t="s">
        <v>67</v>
      </c>
      <c r="F26" s="5" t="s">
        <v>84</v>
      </c>
      <c r="G26" s="5" t="s">
        <v>85</v>
      </c>
      <c r="H26" s="5" t="s">
        <v>86</v>
      </c>
      <c r="I26" s="5" t="s">
        <v>87</v>
      </c>
      <c r="J26" s="5">
        <v>100</v>
      </c>
      <c r="K26" s="7">
        <v>6980</v>
      </c>
      <c r="L26" s="9">
        <v>350</v>
      </c>
      <c r="M26" s="9">
        <v>35</v>
      </c>
      <c r="N26" s="9">
        <v>0</v>
      </c>
      <c r="O26" s="9" t="s">
        <v>31</v>
      </c>
      <c r="P26" s="19">
        <v>0</v>
      </c>
      <c r="Q26" s="6" t="s">
        <v>31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</row>
    <row r="27" spans="1:27" x14ac:dyDescent="0.45">
      <c r="A27" s="4">
        <v>44665</v>
      </c>
      <c r="B27" s="4">
        <v>44669</v>
      </c>
      <c r="C27" s="5">
        <v>9433</v>
      </c>
      <c r="D27" s="9" t="s">
        <v>71</v>
      </c>
      <c r="E27" s="5" t="s">
        <v>67</v>
      </c>
      <c r="F27" s="5" t="s">
        <v>88</v>
      </c>
      <c r="G27" s="5" t="s">
        <v>89</v>
      </c>
      <c r="H27" s="5" t="s">
        <v>86</v>
      </c>
      <c r="I27" s="5" t="s">
        <v>87</v>
      </c>
      <c r="J27" s="5">
        <v>100</v>
      </c>
      <c r="K27" s="7">
        <v>4211</v>
      </c>
      <c r="L27" s="9">
        <v>180</v>
      </c>
      <c r="M27" s="9">
        <v>18</v>
      </c>
      <c r="N27" s="9">
        <v>384</v>
      </c>
      <c r="O27" s="9" t="s">
        <v>90</v>
      </c>
      <c r="P27" s="19">
        <v>-26740</v>
      </c>
      <c r="Q27" s="4">
        <v>44650</v>
      </c>
      <c r="R27" s="7">
        <v>3951.4</v>
      </c>
      <c r="S27" s="9">
        <v>180</v>
      </c>
      <c r="T27" s="9">
        <v>18</v>
      </c>
      <c r="U27" s="9">
        <v>0</v>
      </c>
      <c r="V27" s="9">
        <v>0</v>
      </c>
      <c r="W27" s="9">
        <v>170</v>
      </c>
      <c r="X27" s="9">
        <v>0</v>
      </c>
      <c r="Y27" s="9">
        <v>214</v>
      </c>
      <c r="Z27" s="9">
        <v>0</v>
      </c>
      <c r="AA27" s="9">
        <v>0</v>
      </c>
    </row>
    <row r="28" spans="1:27" x14ac:dyDescent="0.45">
      <c r="A28" s="4">
        <v>44670</v>
      </c>
      <c r="B28" s="4">
        <v>44672</v>
      </c>
      <c r="C28" s="5">
        <v>9101</v>
      </c>
      <c r="D28" s="9" t="s">
        <v>94</v>
      </c>
      <c r="E28" s="5" t="s">
        <v>67</v>
      </c>
      <c r="F28" s="5" t="s">
        <v>88</v>
      </c>
      <c r="G28" s="5" t="s">
        <v>89</v>
      </c>
      <c r="H28" s="5" t="s">
        <v>86</v>
      </c>
      <c r="I28" s="5" t="s">
        <v>87</v>
      </c>
      <c r="J28" s="5">
        <v>100</v>
      </c>
      <c r="K28" s="7">
        <v>9716</v>
      </c>
      <c r="L28" s="9">
        <v>350</v>
      </c>
      <c r="M28" s="9">
        <v>35</v>
      </c>
      <c r="N28" s="9">
        <v>627</v>
      </c>
      <c r="O28" s="9" t="s">
        <v>90</v>
      </c>
      <c r="P28" s="19">
        <v>18003</v>
      </c>
      <c r="Q28" s="4">
        <v>44650</v>
      </c>
      <c r="R28" s="7">
        <v>9910</v>
      </c>
      <c r="S28" s="9">
        <v>350</v>
      </c>
      <c r="T28" s="9">
        <v>35</v>
      </c>
      <c r="U28" s="9">
        <v>0</v>
      </c>
      <c r="V28" s="9">
        <v>0</v>
      </c>
      <c r="W28" s="9">
        <v>0</v>
      </c>
      <c r="X28" s="9">
        <v>0</v>
      </c>
      <c r="Y28" s="9">
        <v>627</v>
      </c>
      <c r="Z28" s="9">
        <v>0</v>
      </c>
      <c r="AA28" s="9">
        <v>0</v>
      </c>
    </row>
    <row r="29" spans="1:27" x14ac:dyDescent="0.45">
      <c r="A29" s="4">
        <v>44670</v>
      </c>
      <c r="B29" s="4">
        <v>44672</v>
      </c>
      <c r="C29" s="5">
        <v>9107</v>
      </c>
      <c r="D29" s="9" t="s">
        <v>92</v>
      </c>
      <c r="E29" s="5" t="s">
        <v>67</v>
      </c>
      <c r="F29" s="5" t="s">
        <v>88</v>
      </c>
      <c r="G29" s="5" t="s">
        <v>89</v>
      </c>
      <c r="H29" s="5" t="s">
        <v>86</v>
      </c>
      <c r="I29" s="5" t="s">
        <v>87</v>
      </c>
      <c r="J29" s="5">
        <v>100</v>
      </c>
      <c r="K29" s="7">
        <v>7450</v>
      </c>
      <c r="L29" s="9">
        <v>350</v>
      </c>
      <c r="M29" s="9">
        <v>35</v>
      </c>
      <c r="N29" s="9">
        <v>189</v>
      </c>
      <c r="O29" s="9" t="s">
        <v>90</v>
      </c>
      <c r="P29" s="19">
        <v>-47959</v>
      </c>
      <c r="Q29" s="4">
        <v>44662</v>
      </c>
      <c r="R29" s="7">
        <v>6980</v>
      </c>
      <c r="S29" s="9">
        <v>350</v>
      </c>
      <c r="T29" s="9">
        <v>35</v>
      </c>
      <c r="U29" s="9">
        <v>0</v>
      </c>
      <c r="V29" s="9">
        <v>0</v>
      </c>
      <c r="W29" s="9">
        <v>0</v>
      </c>
      <c r="X29" s="9">
        <v>0</v>
      </c>
      <c r="Y29" s="9">
        <v>189</v>
      </c>
      <c r="Z29" s="9">
        <v>0</v>
      </c>
      <c r="AA29" s="9">
        <v>0</v>
      </c>
    </row>
    <row r="30" spans="1:27" x14ac:dyDescent="0.45">
      <c r="A30" s="4">
        <v>44672</v>
      </c>
      <c r="B30" s="4">
        <v>44676</v>
      </c>
      <c r="C30" s="5">
        <v>4452</v>
      </c>
      <c r="D30" s="9" t="s">
        <v>95</v>
      </c>
      <c r="E30" s="5" t="s">
        <v>67</v>
      </c>
      <c r="F30" s="5" t="s">
        <v>88</v>
      </c>
      <c r="G30" s="5" t="s">
        <v>89</v>
      </c>
      <c r="H30" s="5" t="s">
        <v>86</v>
      </c>
      <c r="I30" s="5" t="s">
        <v>87</v>
      </c>
      <c r="J30" s="5">
        <v>100</v>
      </c>
      <c r="K30" s="7">
        <v>5242.5</v>
      </c>
      <c r="L30" s="9">
        <v>350</v>
      </c>
      <c r="M30" s="9">
        <v>35</v>
      </c>
      <c r="N30" s="9">
        <v>190</v>
      </c>
      <c r="O30" s="9" t="s">
        <v>90</v>
      </c>
      <c r="P30" s="19">
        <v>-38013</v>
      </c>
      <c r="Q30" s="4">
        <v>44662</v>
      </c>
      <c r="R30" s="7">
        <v>4870.1000000000004</v>
      </c>
      <c r="S30" s="9">
        <v>180</v>
      </c>
      <c r="T30" s="9">
        <v>18</v>
      </c>
      <c r="U30" s="9">
        <v>0</v>
      </c>
      <c r="V30" s="9">
        <v>0</v>
      </c>
      <c r="W30" s="9">
        <v>0</v>
      </c>
      <c r="X30" s="9">
        <v>0</v>
      </c>
      <c r="Y30" s="9">
        <v>190</v>
      </c>
      <c r="Z30" s="9">
        <v>0</v>
      </c>
      <c r="AA30" s="9">
        <v>0</v>
      </c>
    </row>
    <row r="31" spans="1:27" x14ac:dyDescent="0.45">
      <c r="A31" s="4">
        <v>44676</v>
      </c>
      <c r="B31" s="4">
        <v>44678</v>
      </c>
      <c r="C31" s="5">
        <v>7203</v>
      </c>
      <c r="D31" s="9" t="s">
        <v>96</v>
      </c>
      <c r="E31" s="5" t="s">
        <v>67</v>
      </c>
      <c r="F31" s="5" t="s">
        <v>84</v>
      </c>
      <c r="G31" s="5" t="s">
        <v>85</v>
      </c>
      <c r="H31" s="5" t="s">
        <v>86</v>
      </c>
      <c r="I31" s="5" t="s">
        <v>87</v>
      </c>
      <c r="J31" s="5">
        <v>100</v>
      </c>
      <c r="K31" s="7">
        <v>2190.6</v>
      </c>
      <c r="L31" s="9">
        <v>180</v>
      </c>
      <c r="M31" s="9">
        <v>18</v>
      </c>
      <c r="N31" s="9">
        <v>0</v>
      </c>
      <c r="O31" s="9" t="s">
        <v>31</v>
      </c>
      <c r="P31" s="19">
        <v>0</v>
      </c>
      <c r="Q31" s="6" t="s">
        <v>31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</row>
    <row r="32" spans="1:27" x14ac:dyDescent="0.45">
      <c r="A32" s="4">
        <v>44676</v>
      </c>
      <c r="B32" s="4">
        <v>44678</v>
      </c>
      <c r="C32" s="5">
        <v>8584</v>
      </c>
      <c r="D32" s="9" t="s">
        <v>97</v>
      </c>
      <c r="E32" s="5" t="s">
        <v>67</v>
      </c>
      <c r="F32" s="5" t="s">
        <v>84</v>
      </c>
      <c r="G32" s="5" t="s">
        <v>85</v>
      </c>
      <c r="H32" s="5" t="s">
        <v>86</v>
      </c>
      <c r="I32" s="5" t="s">
        <v>87</v>
      </c>
      <c r="J32" s="5">
        <v>100</v>
      </c>
      <c r="K32" s="7">
        <v>3235</v>
      </c>
      <c r="L32" s="9">
        <v>180</v>
      </c>
      <c r="M32" s="9">
        <v>18</v>
      </c>
      <c r="N32" s="9">
        <v>0</v>
      </c>
      <c r="O32" s="9" t="s">
        <v>31</v>
      </c>
      <c r="P32" s="19">
        <v>0</v>
      </c>
      <c r="Q32" s="6" t="s">
        <v>31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</row>
    <row r="33" spans="1:27" x14ac:dyDescent="0.45">
      <c r="A33" s="4">
        <v>44678</v>
      </c>
      <c r="B33" s="4">
        <v>44683</v>
      </c>
      <c r="C33" s="5">
        <v>7203</v>
      </c>
      <c r="D33" s="9" t="s">
        <v>96</v>
      </c>
      <c r="E33" s="5" t="s">
        <v>67</v>
      </c>
      <c r="F33" s="5" t="s">
        <v>88</v>
      </c>
      <c r="G33" s="5" t="s">
        <v>89</v>
      </c>
      <c r="H33" s="5" t="s">
        <v>86</v>
      </c>
      <c r="I33" s="5" t="s">
        <v>87</v>
      </c>
      <c r="J33" s="5">
        <v>100</v>
      </c>
      <c r="K33" s="7">
        <v>2170.5</v>
      </c>
      <c r="L33" s="9">
        <v>180</v>
      </c>
      <c r="M33" s="9">
        <v>18</v>
      </c>
      <c r="N33" s="9">
        <v>39</v>
      </c>
      <c r="O33" s="9" t="s">
        <v>90</v>
      </c>
      <c r="P33" s="19">
        <v>1575</v>
      </c>
      <c r="Q33" s="4">
        <v>44676</v>
      </c>
      <c r="R33" s="7">
        <v>2190.6</v>
      </c>
      <c r="S33" s="9">
        <v>180</v>
      </c>
      <c r="T33" s="9">
        <v>18</v>
      </c>
      <c r="U33" s="9">
        <v>0</v>
      </c>
      <c r="V33" s="9">
        <v>0</v>
      </c>
      <c r="W33" s="9">
        <v>0</v>
      </c>
      <c r="X33" s="9">
        <v>0</v>
      </c>
      <c r="Y33" s="9">
        <v>39</v>
      </c>
      <c r="Z33" s="9">
        <v>0</v>
      </c>
      <c r="AA33" s="9">
        <v>0</v>
      </c>
    </row>
    <row r="34" spans="1:27" x14ac:dyDescent="0.45">
      <c r="A34" s="4">
        <v>44678</v>
      </c>
      <c r="B34" s="4">
        <v>44683</v>
      </c>
      <c r="C34" s="5">
        <v>9810</v>
      </c>
      <c r="D34" s="9" t="s">
        <v>74</v>
      </c>
      <c r="E34" s="5" t="s">
        <v>67</v>
      </c>
      <c r="F34" s="5" t="s">
        <v>88</v>
      </c>
      <c r="G34" s="5" t="s">
        <v>89</v>
      </c>
      <c r="H34" s="5" t="s">
        <v>86</v>
      </c>
      <c r="I34" s="5" t="s">
        <v>87</v>
      </c>
      <c r="J34" s="5">
        <v>100</v>
      </c>
      <c r="K34" s="7">
        <v>5070</v>
      </c>
      <c r="L34" s="9">
        <v>350</v>
      </c>
      <c r="M34" s="9">
        <v>35</v>
      </c>
      <c r="N34" s="9">
        <v>505</v>
      </c>
      <c r="O34" s="9" t="s">
        <v>90</v>
      </c>
      <c r="P34" s="19">
        <v>16125</v>
      </c>
      <c r="Q34" s="4">
        <v>44650</v>
      </c>
      <c r="R34" s="7">
        <v>5244</v>
      </c>
      <c r="S34" s="9">
        <v>350</v>
      </c>
      <c r="T34" s="9">
        <v>35</v>
      </c>
      <c r="U34" s="9">
        <v>0</v>
      </c>
      <c r="V34" s="9">
        <v>0</v>
      </c>
      <c r="W34" s="9">
        <v>0</v>
      </c>
      <c r="X34" s="9">
        <v>0</v>
      </c>
      <c r="Y34" s="9">
        <v>505</v>
      </c>
      <c r="Z34" s="9">
        <v>0</v>
      </c>
      <c r="AA34" s="9">
        <v>0</v>
      </c>
    </row>
    <row r="35" spans="1:27" x14ac:dyDescent="0.45">
      <c r="A35" s="4">
        <v>44692</v>
      </c>
      <c r="B35" s="4">
        <v>44694</v>
      </c>
      <c r="C35" s="5">
        <v>8584</v>
      </c>
      <c r="D35" s="9" t="s">
        <v>97</v>
      </c>
      <c r="E35" s="5" t="s">
        <v>67</v>
      </c>
      <c r="F35" s="5" t="s">
        <v>88</v>
      </c>
      <c r="G35" s="5" t="s">
        <v>89</v>
      </c>
      <c r="H35" s="5" t="s">
        <v>86</v>
      </c>
      <c r="I35" s="5" t="s">
        <v>87</v>
      </c>
      <c r="J35" s="5">
        <v>100</v>
      </c>
      <c r="K35" s="7">
        <v>3220</v>
      </c>
      <c r="L35" s="9">
        <v>180</v>
      </c>
      <c r="M35" s="9">
        <v>18</v>
      </c>
      <c r="N35" s="9">
        <v>165</v>
      </c>
      <c r="O35" s="9" t="s">
        <v>90</v>
      </c>
      <c r="P35" s="19">
        <v>939</v>
      </c>
      <c r="Q35" s="4">
        <v>44676</v>
      </c>
      <c r="R35" s="7">
        <v>3235</v>
      </c>
      <c r="S35" s="9">
        <v>180</v>
      </c>
      <c r="T35" s="9">
        <v>18</v>
      </c>
      <c r="U35" s="9">
        <v>0</v>
      </c>
      <c r="V35" s="9">
        <v>0</v>
      </c>
      <c r="W35" s="9">
        <v>0</v>
      </c>
      <c r="X35" s="9">
        <v>0</v>
      </c>
      <c r="Y35" s="9">
        <v>165</v>
      </c>
      <c r="Z35" s="9">
        <v>0</v>
      </c>
      <c r="AA35" s="9">
        <v>0</v>
      </c>
    </row>
    <row r="36" spans="1:27" x14ac:dyDescent="0.45">
      <c r="A36" s="4">
        <v>44754</v>
      </c>
      <c r="B36" s="4">
        <v>44756</v>
      </c>
      <c r="C36" s="5">
        <v>8058</v>
      </c>
      <c r="D36" s="9" t="s">
        <v>72</v>
      </c>
      <c r="E36" s="5" t="s">
        <v>67</v>
      </c>
      <c r="F36" s="5" t="s">
        <v>84</v>
      </c>
      <c r="G36" s="5" t="s">
        <v>85</v>
      </c>
      <c r="H36" s="5" t="s">
        <v>86</v>
      </c>
      <c r="I36" s="5" t="s">
        <v>87</v>
      </c>
      <c r="J36" s="5">
        <v>100</v>
      </c>
      <c r="K36" s="7">
        <v>3841</v>
      </c>
      <c r="L36" s="9">
        <v>180</v>
      </c>
      <c r="M36" s="9">
        <v>18</v>
      </c>
      <c r="N36" s="9">
        <v>0</v>
      </c>
      <c r="O36" s="9" t="s">
        <v>31</v>
      </c>
      <c r="P36" s="19">
        <v>0</v>
      </c>
      <c r="Q36" s="6" t="s">
        <v>31</v>
      </c>
      <c r="R36" s="9">
        <v>0</v>
      </c>
      <c r="S36" s="9">
        <v>0</v>
      </c>
      <c r="T36" s="9">
        <v>0</v>
      </c>
      <c r="U36" s="9">
        <v>0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</row>
    <row r="37" spans="1:27" x14ac:dyDescent="0.45">
      <c r="A37" s="4">
        <v>44755</v>
      </c>
      <c r="B37" s="4">
        <v>44757</v>
      </c>
      <c r="C37" s="5">
        <v>4507</v>
      </c>
      <c r="D37" s="9" t="s">
        <v>98</v>
      </c>
      <c r="E37" s="5" t="s">
        <v>67</v>
      </c>
      <c r="F37" s="5" t="s">
        <v>84</v>
      </c>
      <c r="G37" s="5" t="s">
        <v>85</v>
      </c>
      <c r="H37" s="5" t="s">
        <v>86</v>
      </c>
      <c r="I37" s="5" t="s">
        <v>87</v>
      </c>
      <c r="J37" s="5">
        <v>100</v>
      </c>
      <c r="K37" s="7">
        <v>7136</v>
      </c>
      <c r="L37" s="9">
        <v>350</v>
      </c>
      <c r="M37" s="9">
        <v>35</v>
      </c>
      <c r="N37" s="9">
        <v>0</v>
      </c>
      <c r="O37" s="9" t="s">
        <v>31</v>
      </c>
      <c r="P37" s="19">
        <v>0</v>
      </c>
      <c r="Q37" s="6" t="s">
        <v>31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</row>
    <row r="38" spans="1:27" x14ac:dyDescent="0.45">
      <c r="A38" s="4">
        <v>44757</v>
      </c>
      <c r="B38" s="4">
        <v>44762</v>
      </c>
      <c r="C38" s="5">
        <v>4507</v>
      </c>
      <c r="D38" s="9" t="s">
        <v>98</v>
      </c>
      <c r="E38" s="5" t="s">
        <v>67</v>
      </c>
      <c r="F38" s="5" t="s">
        <v>88</v>
      </c>
      <c r="G38" s="5" t="s">
        <v>89</v>
      </c>
      <c r="H38" s="5" t="s">
        <v>86</v>
      </c>
      <c r="I38" s="5" t="s">
        <v>87</v>
      </c>
      <c r="J38" s="5">
        <v>100</v>
      </c>
      <c r="K38" s="7">
        <v>7464.6</v>
      </c>
      <c r="L38" s="9">
        <v>350</v>
      </c>
      <c r="M38" s="9">
        <v>35</v>
      </c>
      <c r="N38" s="9">
        <v>129</v>
      </c>
      <c r="O38" s="9" t="s">
        <v>90</v>
      </c>
      <c r="P38" s="19">
        <v>-33759</v>
      </c>
      <c r="Q38" s="4">
        <v>44755</v>
      </c>
      <c r="R38" s="7">
        <v>7136</v>
      </c>
      <c r="S38" s="9">
        <v>350</v>
      </c>
      <c r="T38" s="9">
        <v>35</v>
      </c>
      <c r="U38" s="9">
        <v>0</v>
      </c>
      <c r="V38" s="9">
        <v>0</v>
      </c>
      <c r="W38" s="9">
        <v>0</v>
      </c>
      <c r="X38" s="9">
        <v>0</v>
      </c>
      <c r="Y38" s="9">
        <v>129</v>
      </c>
      <c r="Z38" s="9">
        <v>0</v>
      </c>
      <c r="AA38" s="9">
        <v>0</v>
      </c>
    </row>
    <row r="39" spans="1:27" x14ac:dyDescent="0.45">
      <c r="A39" s="4">
        <v>44763</v>
      </c>
      <c r="B39" s="4">
        <v>44767</v>
      </c>
      <c r="C39" s="5">
        <v>4507</v>
      </c>
      <c r="D39" s="9" t="s">
        <v>98</v>
      </c>
      <c r="E39" s="5" t="s">
        <v>67</v>
      </c>
      <c r="F39" s="5" t="s">
        <v>84</v>
      </c>
      <c r="G39" s="5" t="s">
        <v>85</v>
      </c>
      <c r="H39" s="5" t="s">
        <v>86</v>
      </c>
      <c r="I39" s="5" t="s">
        <v>87</v>
      </c>
      <c r="J39" s="5">
        <v>100</v>
      </c>
      <c r="K39" s="7">
        <v>6800</v>
      </c>
      <c r="L39" s="9">
        <v>350</v>
      </c>
      <c r="M39" s="9">
        <v>35</v>
      </c>
      <c r="N39" s="9">
        <v>0</v>
      </c>
      <c r="O39" s="9" t="s">
        <v>31</v>
      </c>
      <c r="P39" s="19">
        <v>0</v>
      </c>
      <c r="Q39" s="6" t="s">
        <v>31</v>
      </c>
      <c r="R39" s="9">
        <v>0</v>
      </c>
      <c r="S39" s="9">
        <v>0</v>
      </c>
      <c r="T39" s="9">
        <v>0</v>
      </c>
      <c r="U39" s="9">
        <v>0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</row>
    <row r="40" spans="1:27" x14ac:dyDescent="0.45">
      <c r="A40" s="4">
        <v>44778</v>
      </c>
      <c r="B40" s="4">
        <v>44782</v>
      </c>
      <c r="C40" s="5">
        <v>4507</v>
      </c>
      <c r="D40" s="9" t="s">
        <v>98</v>
      </c>
      <c r="E40" s="5" t="s">
        <v>67</v>
      </c>
      <c r="F40" s="5" t="s">
        <v>88</v>
      </c>
      <c r="G40" s="5" t="s">
        <v>89</v>
      </c>
      <c r="H40" s="5" t="s">
        <v>86</v>
      </c>
      <c r="I40" s="5" t="s">
        <v>87</v>
      </c>
      <c r="J40" s="5">
        <v>100</v>
      </c>
      <c r="K40" s="7">
        <v>6747</v>
      </c>
      <c r="L40" s="9">
        <v>350</v>
      </c>
      <c r="M40" s="9">
        <v>35</v>
      </c>
      <c r="N40" s="9">
        <v>327</v>
      </c>
      <c r="O40" s="9" t="s">
        <v>90</v>
      </c>
      <c r="P40" s="19">
        <v>4203</v>
      </c>
      <c r="Q40" s="4">
        <v>44763</v>
      </c>
      <c r="R40" s="7">
        <v>6800</v>
      </c>
      <c r="S40" s="9">
        <v>350</v>
      </c>
      <c r="T40" s="9">
        <v>35</v>
      </c>
      <c r="U40" s="9">
        <v>0</v>
      </c>
      <c r="V40" s="9">
        <v>0</v>
      </c>
      <c r="W40" s="9">
        <v>0</v>
      </c>
      <c r="X40" s="9">
        <v>0</v>
      </c>
      <c r="Y40" s="9">
        <v>327</v>
      </c>
      <c r="Z40" s="9">
        <v>0</v>
      </c>
      <c r="AA40" s="9">
        <v>0</v>
      </c>
    </row>
    <row r="41" spans="1:27" x14ac:dyDescent="0.45">
      <c r="A41" s="4">
        <v>44785</v>
      </c>
      <c r="B41" s="4">
        <v>44789</v>
      </c>
      <c r="C41" s="5">
        <v>8058</v>
      </c>
      <c r="D41" s="9" t="s">
        <v>72</v>
      </c>
      <c r="E41" s="5" t="s">
        <v>67</v>
      </c>
      <c r="F41" s="5" t="s">
        <v>88</v>
      </c>
      <c r="G41" s="5" t="s">
        <v>89</v>
      </c>
      <c r="H41" s="5" t="s">
        <v>86</v>
      </c>
      <c r="I41" s="5" t="s">
        <v>87</v>
      </c>
      <c r="J41" s="5">
        <v>100</v>
      </c>
      <c r="K41" s="7">
        <v>4248</v>
      </c>
      <c r="L41" s="9">
        <v>180</v>
      </c>
      <c r="M41" s="9">
        <v>18</v>
      </c>
      <c r="N41" s="9">
        <v>393</v>
      </c>
      <c r="O41" s="9" t="s">
        <v>90</v>
      </c>
      <c r="P41" s="19">
        <v>-41489</v>
      </c>
      <c r="Q41" s="4">
        <v>44754</v>
      </c>
      <c r="R41" s="7">
        <v>3841</v>
      </c>
      <c r="S41" s="9">
        <v>180</v>
      </c>
      <c r="T41" s="9">
        <v>18</v>
      </c>
      <c r="U41" s="9">
        <v>0</v>
      </c>
      <c r="V41" s="9">
        <v>0</v>
      </c>
      <c r="W41" s="9">
        <v>0</v>
      </c>
      <c r="X41" s="9">
        <v>0</v>
      </c>
      <c r="Y41" s="9">
        <v>393</v>
      </c>
      <c r="Z41" s="9">
        <v>0</v>
      </c>
      <c r="AA41" s="9">
        <v>0</v>
      </c>
    </row>
    <row r="42" spans="1:27" x14ac:dyDescent="0.45">
      <c r="A42" s="4">
        <v>44875</v>
      </c>
      <c r="B42" s="4">
        <v>44879</v>
      </c>
      <c r="C42" s="5">
        <v>4324</v>
      </c>
      <c r="D42" s="9" t="s">
        <v>45</v>
      </c>
      <c r="E42" s="5" t="s">
        <v>67</v>
      </c>
      <c r="F42" s="5" t="s">
        <v>84</v>
      </c>
      <c r="G42" s="5" t="s">
        <v>85</v>
      </c>
      <c r="H42" s="5" t="s">
        <v>86</v>
      </c>
      <c r="I42" s="5" t="s">
        <v>87</v>
      </c>
      <c r="J42" s="5">
        <v>100</v>
      </c>
      <c r="K42" s="7">
        <v>4450</v>
      </c>
      <c r="L42" s="9">
        <v>180</v>
      </c>
      <c r="M42" s="9">
        <v>18</v>
      </c>
      <c r="N42" s="9">
        <v>0</v>
      </c>
      <c r="O42" s="9" t="s">
        <v>31</v>
      </c>
      <c r="P42" s="19">
        <v>0</v>
      </c>
      <c r="Q42" s="6" t="s">
        <v>31</v>
      </c>
      <c r="R42" s="9">
        <v>0</v>
      </c>
      <c r="S42" s="9">
        <v>0</v>
      </c>
      <c r="T42" s="9">
        <v>0</v>
      </c>
      <c r="U42" s="9">
        <v>0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</row>
    <row r="43" spans="1:27" x14ac:dyDescent="0.45">
      <c r="A43" s="4">
        <v>44897</v>
      </c>
      <c r="B43" s="4">
        <v>44901</v>
      </c>
      <c r="C43" s="5">
        <v>4324</v>
      </c>
      <c r="D43" s="9" t="s">
        <v>45</v>
      </c>
      <c r="E43" s="5" t="s">
        <v>67</v>
      </c>
      <c r="F43" s="5" t="s">
        <v>88</v>
      </c>
      <c r="G43" s="5" t="s">
        <v>89</v>
      </c>
      <c r="H43" s="5" t="s">
        <v>86</v>
      </c>
      <c r="I43" s="5" t="s">
        <v>87</v>
      </c>
      <c r="J43" s="5">
        <v>100</v>
      </c>
      <c r="K43" s="7">
        <v>4235</v>
      </c>
      <c r="L43" s="9">
        <v>180</v>
      </c>
      <c r="M43" s="9">
        <v>18</v>
      </c>
      <c r="N43" s="9">
        <v>518</v>
      </c>
      <c r="O43" s="9" t="s">
        <v>90</v>
      </c>
      <c r="P43" s="19">
        <v>20586</v>
      </c>
      <c r="Q43" s="4">
        <v>44875</v>
      </c>
      <c r="R43" s="7">
        <v>4450</v>
      </c>
      <c r="S43" s="9">
        <v>180</v>
      </c>
      <c r="T43" s="9">
        <v>18</v>
      </c>
      <c r="U43" s="9">
        <v>0</v>
      </c>
      <c r="V43" s="9">
        <v>0</v>
      </c>
      <c r="W43" s="9">
        <v>210</v>
      </c>
      <c r="X43" s="9">
        <v>0</v>
      </c>
      <c r="Y43" s="9">
        <v>308</v>
      </c>
      <c r="Z43" s="9">
        <v>0</v>
      </c>
      <c r="AA43" s="9">
        <v>0</v>
      </c>
    </row>
    <row r="44" spans="1:27" x14ac:dyDescent="0.45">
      <c r="A44" s="4">
        <v>44900</v>
      </c>
      <c r="B44" s="4">
        <v>44902</v>
      </c>
      <c r="C44" s="5">
        <v>2264</v>
      </c>
      <c r="D44" s="9" t="s">
        <v>99</v>
      </c>
      <c r="E44" s="5" t="s">
        <v>67</v>
      </c>
      <c r="F44" s="5" t="s">
        <v>84</v>
      </c>
      <c r="G44" s="5" t="s">
        <v>85</v>
      </c>
      <c r="H44" s="5" t="s">
        <v>86</v>
      </c>
      <c r="I44" s="5" t="s">
        <v>87</v>
      </c>
      <c r="J44" s="5">
        <v>100</v>
      </c>
      <c r="K44" s="7">
        <v>4410</v>
      </c>
      <c r="L44" s="9">
        <v>180</v>
      </c>
      <c r="M44" s="9">
        <v>18</v>
      </c>
      <c r="N44" s="9">
        <v>0</v>
      </c>
      <c r="O44" s="9" t="s">
        <v>31</v>
      </c>
      <c r="P44" s="19">
        <v>0</v>
      </c>
      <c r="Q44" s="6" t="s">
        <v>31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</row>
    <row r="45" spans="1:27" x14ac:dyDescent="0.45">
      <c r="A45" s="4">
        <v>44902</v>
      </c>
      <c r="B45" s="4">
        <v>44904</v>
      </c>
      <c r="C45" s="5">
        <v>4063</v>
      </c>
      <c r="D45" s="9" t="s">
        <v>100</v>
      </c>
      <c r="E45" s="5" t="s">
        <v>67</v>
      </c>
      <c r="F45" s="5" t="s">
        <v>84</v>
      </c>
      <c r="G45" s="5" t="s">
        <v>85</v>
      </c>
      <c r="H45" s="5" t="s">
        <v>86</v>
      </c>
      <c r="I45" s="5" t="s">
        <v>87</v>
      </c>
      <c r="J45" s="5">
        <v>100</v>
      </c>
      <c r="K45" s="7">
        <v>17125</v>
      </c>
      <c r="L45" s="9">
        <v>350</v>
      </c>
      <c r="M45" s="9">
        <v>35</v>
      </c>
      <c r="N45" s="9">
        <v>0</v>
      </c>
      <c r="O45" s="9" t="s">
        <v>31</v>
      </c>
      <c r="P45" s="19">
        <v>0</v>
      </c>
      <c r="Q45" s="6" t="s">
        <v>31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9">
        <v>0</v>
      </c>
    </row>
    <row r="46" spans="1:27" x14ac:dyDescent="0.45">
      <c r="A46" s="4">
        <v>44916</v>
      </c>
      <c r="B46" s="4">
        <v>44918</v>
      </c>
      <c r="C46" s="5">
        <v>4063</v>
      </c>
      <c r="D46" s="9" t="s">
        <v>100</v>
      </c>
      <c r="E46" s="5" t="s">
        <v>67</v>
      </c>
      <c r="F46" s="5" t="s">
        <v>88</v>
      </c>
      <c r="G46" s="5" t="s">
        <v>89</v>
      </c>
      <c r="H46" s="5" t="s">
        <v>86</v>
      </c>
      <c r="I46" s="5" t="s">
        <v>87</v>
      </c>
      <c r="J46" s="5">
        <v>100</v>
      </c>
      <c r="K46" s="7">
        <v>16910</v>
      </c>
      <c r="L46" s="9">
        <v>350</v>
      </c>
      <c r="M46" s="9">
        <v>35</v>
      </c>
      <c r="N46" s="9">
        <v>774</v>
      </c>
      <c r="O46" s="9" t="s">
        <v>90</v>
      </c>
      <c r="P46" s="19">
        <v>19956</v>
      </c>
      <c r="Q46" s="4">
        <v>44902</v>
      </c>
      <c r="R46" s="7">
        <v>17125</v>
      </c>
      <c r="S46" s="9">
        <v>350</v>
      </c>
      <c r="T46" s="9">
        <v>35</v>
      </c>
      <c r="U46" s="9">
        <v>0</v>
      </c>
      <c r="V46" s="9">
        <v>0</v>
      </c>
      <c r="W46" s="9">
        <v>0</v>
      </c>
      <c r="X46" s="9">
        <v>0</v>
      </c>
      <c r="Y46" s="9">
        <v>774</v>
      </c>
      <c r="Z46" s="9">
        <v>0</v>
      </c>
      <c r="AA46" s="9">
        <v>0</v>
      </c>
    </row>
    <row r="47" spans="1:27" x14ac:dyDescent="0.45">
      <c r="A47" s="4">
        <v>45019</v>
      </c>
      <c r="B47" s="4">
        <v>45021</v>
      </c>
      <c r="C47" s="5">
        <v>2264</v>
      </c>
      <c r="D47" s="9" t="s">
        <v>99</v>
      </c>
      <c r="E47" s="5" t="s">
        <v>67</v>
      </c>
      <c r="F47" s="5" t="s">
        <v>88</v>
      </c>
      <c r="G47" s="5" t="s">
        <v>89</v>
      </c>
      <c r="H47" s="5" t="s">
        <v>86</v>
      </c>
      <c r="I47" s="5" t="s">
        <v>87</v>
      </c>
      <c r="J47" s="5">
        <v>100</v>
      </c>
      <c r="K47" s="25">
        <v>4815</v>
      </c>
      <c r="L47" s="9">
        <v>0</v>
      </c>
      <c r="M47" s="9">
        <v>30</v>
      </c>
      <c r="N47" s="19">
        <v>2354</v>
      </c>
      <c r="O47" s="9" t="s">
        <v>90</v>
      </c>
      <c r="P47" s="19">
        <v>-43082</v>
      </c>
      <c r="Q47" s="4">
        <v>44900</v>
      </c>
      <c r="R47" s="25">
        <v>4410</v>
      </c>
      <c r="S47" s="9">
        <v>180</v>
      </c>
      <c r="T47" s="9">
        <v>18</v>
      </c>
      <c r="U47" s="9">
        <v>0</v>
      </c>
      <c r="V47" s="9">
        <v>0</v>
      </c>
      <c r="W47" s="9">
        <v>460</v>
      </c>
      <c r="X47" s="9">
        <v>0</v>
      </c>
      <c r="Y47" s="19">
        <v>1594</v>
      </c>
      <c r="Z47" s="9">
        <v>300</v>
      </c>
      <c r="AA47" s="9">
        <v>0</v>
      </c>
    </row>
    <row r="48" spans="1:27" x14ac:dyDescent="0.45">
      <c r="A48" s="4">
        <v>45112</v>
      </c>
      <c r="B48" s="4">
        <v>45112</v>
      </c>
      <c r="C48" s="5">
        <v>2264</v>
      </c>
      <c r="D48" s="9" t="s">
        <v>99</v>
      </c>
      <c r="E48" s="5" t="s">
        <v>67</v>
      </c>
      <c r="F48" s="5" t="s">
        <v>205</v>
      </c>
      <c r="G48" s="5"/>
      <c r="H48" s="5"/>
      <c r="I48" s="5"/>
      <c r="J48" s="5">
        <v>100</v>
      </c>
      <c r="K48" s="9">
        <v>76.216499999999996</v>
      </c>
      <c r="L48" s="9">
        <v>0</v>
      </c>
      <c r="M48" s="9"/>
      <c r="N48" s="9"/>
      <c r="O48" s="9" t="s">
        <v>177</v>
      </c>
      <c r="P48" s="21">
        <v>-7621</v>
      </c>
      <c r="Q48" s="6" t="s">
        <v>177</v>
      </c>
      <c r="R48" s="19"/>
      <c r="S48" s="9"/>
      <c r="T48" s="9"/>
      <c r="U48" s="9"/>
      <c r="V48" s="9"/>
      <c r="W48" s="9"/>
      <c r="X48" s="9"/>
      <c r="Y48" s="9"/>
      <c r="Z48" s="9"/>
      <c r="AA48" s="9"/>
    </row>
    <row r="49" spans="1:27" x14ac:dyDescent="0.45">
      <c r="A49" s="4">
        <v>45398</v>
      </c>
      <c r="B49" s="4">
        <v>45400</v>
      </c>
      <c r="C49" s="5">
        <v>2501</v>
      </c>
      <c r="D49" s="9" t="s">
        <v>252</v>
      </c>
      <c r="E49" s="5" t="s">
        <v>67</v>
      </c>
      <c r="F49" s="5" t="s">
        <v>84</v>
      </c>
      <c r="G49" s="5" t="s">
        <v>85</v>
      </c>
      <c r="H49" s="5" t="s">
        <v>86</v>
      </c>
      <c r="I49" s="5" t="s">
        <v>87</v>
      </c>
      <c r="J49" s="5">
        <v>100</v>
      </c>
      <c r="K49" s="7">
        <v>5763.4</v>
      </c>
      <c r="L49" s="9">
        <v>0</v>
      </c>
      <c r="M49" s="9">
        <v>0</v>
      </c>
      <c r="N49" s="9">
        <v>0</v>
      </c>
      <c r="O49" s="9" t="s">
        <v>177</v>
      </c>
      <c r="P49" s="21">
        <v>0</v>
      </c>
      <c r="Q49" s="6" t="s">
        <v>177</v>
      </c>
      <c r="R49" s="21">
        <v>0</v>
      </c>
      <c r="S49" s="9">
        <v>0</v>
      </c>
      <c r="T49" s="9">
        <v>0</v>
      </c>
      <c r="U49" s="9">
        <v>0</v>
      </c>
      <c r="V49" s="9">
        <v>0</v>
      </c>
      <c r="W49" s="9">
        <v>0</v>
      </c>
      <c r="X49" s="9">
        <v>0</v>
      </c>
      <c r="Y49" s="9">
        <v>0</v>
      </c>
      <c r="Z49" s="9">
        <v>0</v>
      </c>
      <c r="AA49" s="9">
        <v>0</v>
      </c>
    </row>
    <row r="50" spans="1:27" x14ac:dyDescent="0.45">
      <c r="A50" s="4">
        <v>45398</v>
      </c>
      <c r="B50" s="4">
        <v>45400</v>
      </c>
      <c r="C50" s="5">
        <v>2501</v>
      </c>
      <c r="D50" s="9" t="s">
        <v>252</v>
      </c>
      <c r="E50" s="5" t="s">
        <v>67</v>
      </c>
      <c r="F50" s="5" t="s">
        <v>88</v>
      </c>
      <c r="G50" s="5" t="s">
        <v>89</v>
      </c>
      <c r="H50" s="5" t="s">
        <v>86</v>
      </c>
      <c r="I50" s="5" t="s">
        <v>87</v>
      </c>
      <c r="J50" s="5">
        <v>100</v>
      </c>
      <c r="K50" s="7">
        <v>5771</v>
      </c>
      <c r="L50" s="9">
        <v>0</v>
      </c>
      <c r="M50" s="9">
        <v>0</v>
      </c>
      <c r="N50" s="9">
        <v>17</v>
      </c>
      <c r="O50" s="9" t="s">
        <v>90</v>
      </c>
      <c r="P50" s="21">
        <v>-777</v>
      </c>
      <c r="Q50" s="4">
        <v>45398</v>
      </c>
      <c r="R50" s="40">
        <v>5763.4</v>
      </c>
      <c r="S50" s="9">
        <v>0</v>
      </c>
      <c r="T50" s="9">
        <v>0</v>
      </c>
      <c r="U50" s="9">
        <v>0</v>
      </c>
      <c r="V50" s="9">
        <v>0</v>
      </c>
      <c r="W50" s="9">
        <v>0</v>
      </c>
      <c r="X50" s="9">
        <v>0</v>
      </c>
      <c r="Y50" s="9">
        <v>17</v>
      </c>
      <c r="Z50" s="9">
        <v>0</v>
      </c>
      <c r="AA50" s="9">
        <v>0</v>
      </c>
    </row>
    <row r="51" spans="1:27" x14ac:dyDescent="0.45">
      <c r="A51" s="4">
        <v>45398</v>
      </c>
      <c r="B51" s="4">
        <v>45400</v>
      </c>
      <c r="C51" s="5">
        <v>3397</v>
      </c>
      <c r="D51" s="9" t="s">
        <v>110</v>
      </c>
      <c r="E51" s="5" t="s">
        <v>67</v>
      </c>
      <c r="F51" s="5" t="s">
        <v>84</v>
      </c>
      <c r="G51" s="5" t="s">
        <v>85</v>
      </c>
      <c r="H51" s="5" t="s">
        <v>86</v>
      </c>
      <c r="I51" s="5" t="s">
        <v>87</v>
      </c>
      <c r="J51" s="5">
        <v>100</v>
      </c>
      <c r="K51" s="7">
        <v>3871.5</v>
      </c>
      <c r="L51" s="9">
        <v>0</v>
      </c>
      <c r="M51" s="9">
        <v>0</v>
      </c>
      <c r="N51" s="9">
        <v>0</v>
      </c>
      <c r="O51" s="9" t="s">
        <v>177</v>
      </c>
      <c r="P51" s="21">
        <v>0</v>
      </c>
      <c r="Q51" s="6" t="s">
        <v>177</v>
      </c>
      <c r="R51" s="21">
        <v>0</v>
      </c>
      <c r="S51" s="9">
        <v>0</v>
      </c>
      <c r="T51" s="9">
        <v>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</row>
    <row r="52" spans="1:27" x14ac:dyDescent="0.45">
      <c r="A52" s="4">
        <v>45398</v>
      </c>
      <c r="B52" s="4">
        <v>45400</v>
      </c>
      <c r="C52" s="5">
        <v>6857</v>
      </c>
      <c r="D52" s="9" t="s">
        <v>242</v>
      </c>
      <c r="E52" s="5" t="s">
        <v>67</v>
      </c>
      <c r="F52" s="5" t="s">
        <v>84</v>
      </c>
      <c r="G52" s="5" t="s">
        <v>85</v>
      </c>
      <c r="H52" s="5" t="s">
        <v>86</v>
      </c>
      <c r="I52" s="5" t="s">
        <v>87</v>
      </c>
      <c r="J52" s="5">
        <v>100</v>
      </c>
      <c r="K52" s="7">
        <v>5700.3</v>
      </c>
      <c r="L52" s="9">
        <v>0</v>
      </c>
      <c r="M52" s="9">
        <v>0</v>
      </c>
      <c r="N52" s="9">
        <v>0</v>
      </c>
      <c r="O52" s="9" t="s">
        <v>177</v>
      </c>
      <c r="P52" s="21">
        <v>0</v>
      </c>
      <c r="Q52" s="6" t="s">
        <v>177</v>
      </c>
      <c r="R52" s="21">
        <v>0</v>
      </c>
      <c r="S52" s="9">
        <v>0</v>
      </c>
      <c r="T52" s="9">
        <v>0</v>
      </c>
      <c r="U52" s="9">
        <v>0</v>
      </c>
      <c r="V52" s="9">
        <v>0</v>
      </c>
      <c r="W52" s="9">
        <v>0</v>
      </c>
      <c r="X52" s="9">
        <v>0</v>
      </c>
      <c r="Y52" s="9">
        <v>0</v>
      </c>
      <c r="Z52" s="9">
        <v>0</v>
      </c>
      <c r="AA52" s="9">
        <v>0</v>
      </c>
    </row>
    <row r="53" spans="1:27" x14ac:dyDescent="0.45">
      <c r="A53" s="4">
        <v>45398</v>
      </c>
      <c r="B53" s="4">
        <v>45400</v>
      </c>
      <c r="C53" s="5">
        <v>7974</v>
      </c>
      <c r="D53" s="9" t="s">
        <v>174</v>
      </c>
      <c r="E53" s="5" t="s">
        <v>67</v>
      </c>
      <c r="F53" s="5" t="s">
        <v>84</v>
      </c>
      <c r="G53" s="5" t="s">
        <v>85</v>
      </c>
      <c r="H53" s="5" t="s">
        <v>86</v>
      </c>
      <c r="I53" s="5" t="s">
        <v>87</v>
      </c>
      <c r="J53" s="5">
        <v>100</v>
      </c>
      <c r="K53" s="7">
        <v>7523</v>
      </c>
      <c r="L53" s="9">
        <v>0</v>
      </c>
      <c r="M53" s="9">
        <v>0</v>
      </c>
      <c r="N53" s="9">
        <v>0</v>
      </c>
      <c r="O53" s="9" t="s">
        <v>177</v>
      </c>
      <c r="P53" s="21">
        <v>0</v>
      </c>
      <c r="Q53" s="6" t="s">
        <v>177</v>
      </c>
      <c r="R53" s="21">
        <v>0</v>
      </c>
      <c r="S53" s="9">
        <v>0</v>
      </c>
      <c r="T53" s="9">
        <v>0</v>
      </c>
      <c r="U53" s="9">
        <v>0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</row>
    <row r="54" spans="1:27" x14ac:dyDescent="0.45">
      <c r="A54" s="4">
        <v>45400</v>
      </c>
      <c r="B54" s="4">
        <v>45404</v>
      </c>
      <c r="C54" s="5">
        <v>3397</v>
      </c>
      <c r="D54" s="9" t="s">
        <v>110</v>
      </c>
      <c r="E54" s="5" t="s">
        <v>67</v>
      </c>
      <c r="F54" s="5" t="s">
        <v>84</v>
      </c>
      <c r="G54" s="5" t="s">
        <v>85</v>
      </c>
      <c r="H54" s="5" t="s">
        <v>86</v>
      </c>
      <c r="I54" s="5" t="s">
        <v>87</v>
      </c>
      <c r="J54" s="5">
        <v>100</v>
      </c>
      <c r="K54" s="7">
        <v>3715</v>
      </c>
      <c r="L54" s="9">
        <v>0</v>
      </c>
      <c r="M54" s="9">
        <v>0</v>
      </c>
      <c r="N54" s="9">
        <v>0</v>
      </c>
      <c r="O54" s="9" t="s">
        <v>177</v>
      </c>
      <c r="P54" s="21">
        <v>0</v>
      </c>
      <c r="Q54" s="6" t="s">
        <v>177</v>
      </c>
      <c r="R54" s="21">
        <v>0</v>
      </c>
      <c r="S54" s="9">
        <v>0</v>
      </c>
      <c r="T54" s="9">
        <v>0</v>
      </c>
      <c r="U54" s="9">
        <v>0</v>
      </c>
      <c r="V54" s="9">
        <v>0</v>
      </c>
      <c r="W54" s="9">
        <v>0</v>
      </c>
      <c r="X54" s="9">
        <v>0</v>
      </c>
      <c r="Y54" s="9">
        <v>0</v>
      </c>
      <c r="Z54" s="9">
        <v>0</v>
      </c>
      <c r="AA54" s="9">
        <v>0</v>
      </c>
    </row>
    <row r="55" spans="1:27" x14ac:dyDescent="0.45">
      <c r="A55" s="4">
        <v>45400</v>
      </c>
      <c r="B55" s="4">
        <v>45404</v>
      </c>
      <c r="C55" s="5">
        <v>4523</v>
      </c>
      <c r="D55" s="9" t="s">
        <v>223</v>
      </c>
      <c r="E55" s="5" t="s">
        <v>67</v>
      </c>
      <c r="F55" s="5" t="s">
        <v>84</v>
      </c>
      <c r="G55" s="5" t="s">
        <v>85</v>
      </c>
      <c r="H55" s="5" t="s">
        <v>86</v>
      </c>
      <c r="I55" s="5" t="s">
        <v>87</v>
      </c>
      <c r="J55" s="5">
        <v>100</v>
      </c>
      <c r="K55" s="7">
        <v>5840.6</v>
      </c>
      <c r="L55" s="9">
        <v>0</v>
      </c>
      <c r="M55" s="9">
        <v>0</v>
      </c>
      <c r="N55" s="9">
        <v>0</v>
      </c>
      <c r="O55" s="9" t="s">
        <v>177</v>
      </c>
      <c r="P55" s="21">
        <v>0</v>
      </c>
      <c r="Q55" s="6" t="s">
        <v>177</v>
      </c>
      <c r="R55" s="21">
        <v>0</v>
      </c>
      <c r="S55" s="9">
        <v>0</v>
      </c>
      <c r="T55" s="9">
        <v>0</v>
      </c>
      <c r="U55" s="9">
        <v>0</v>
      </c>
      <c r="V55" s="9">
        <v>0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</row>
    <row r="56" spans="1:27" x14ac:dyDescent="0.45">
      <c r="A56" s="4">
        <v>45404</v>
      </c>
      <c r="B56" s="4">
        <v>45406</v>
      </c>
      <c r="C56" s="5">
        <v>7735</v>
      </c>
      <c r="D56" s="9" t="s">
        <v>244</v>
      </c>
      <c r="E56" s="5" t="s">
        <v>67</v>
      </c>
      <c r="F56" s="5" t="s">
        <v>84</v>
      </c>
      <c r="G56" s="5" t="s">
        <v>85</v>
      </c>
      <c r="H56" s="5" t="s">
        <v>86</v>
      </c>
      <c r="I56" s="5" t="s">
        <v>87</v>
      </c>
      <c r="J56" s="5">
        <v>100</v>
      </c>
      <c r="K56" s="7">
        <v>16002.5</v>
      </c>
      <c r="L56" s="9">
        <v>0</v>
      </c>
      <c r="M56" s="9">
        <v>0</v>
      </c>
      <c r="N56" s="9">
        <v>0</v>
      </c>
      <c r="O56" s="9" t="s">
        <v>177</v>
      </c>
      <c r="P56" s="21">
        <v>0</v>
      </c>
      <c r="Q56" s="6" t="s">
        <v>177</v>
      </c>
      <c r="R56" s="21">
        <v>0</v>
      </c>
      <c r="S56" s="9">
        <v>0</v>
      </c>
      <c r="T56" s="9">
        <v>0</v>
      </c>
      <c r="U56" s="9">
        <v>0</v>
      </c>
      <c r="V56" s="9">
        <v>0</v>
      </c>
      <c r="W56" s="9">
        <v>0</v>
      </c>
      <c r="X56" s="9">
        <v>0</v>
      </c>
      <c r="Y56" s="9">
        <v>0</v>
      </c>
      <c r="Z56" s="9">
        <v>0</v>
      </c>
      <c r="AA56" s="9">
        <v>0</v>
      </c>
    </row>
    <row r="57" spans="1:27" x14ac:dyDescent="0.45">
      <c r="A57" s="4">
        <v>45404</v>
      </c>
      <c r="B57" s="4">
        <v>45406</v>
      </c>
      <c r="C57" s="5">
        <v>8035</v>
      </c>
      <c r="D57" s="9" t="s">
        <v>253</v>
      </c>
      <c r="E57" s="5" t="s">
        <v>67</v>
      </c>
      <c r="F57" s="5" t="s">
        <v>84</v>
      </c>
      <c r="G57" s="5" t="s">
        <v>85</v>
      </c>
      <c r="H57" s="5" t="s">
        <v>86</v>
      </c>
      <c r="I57" s="5" t="s">
        <v>87</v>
      </c>
      <c r="J57" s="5">
        <v>100</v>
      </c>
      <c r="K57" s="7">
        <v>32225</v>
      </c>
      <c r="L57" s="9">
        <v>0</v>
      </c>
      <c r="M57" s="9">
        <v>0</v>
      </c>
      <c r="N57" s="9">
        <v>0</v>
      </c>
      <c r="O57" s="9" t="s">
        <v>177</v>
      </c>
      <c r="P57" s="21">
        <v>0</v>
      </c>
      <c r="Q57" s="6" t="s">
        <v>177</v>
      </c>
      <c r="R57" s="21">
        <v>0</v>
      </c>
      <c r="S57" s="9">
        <v>0</v>
      </c>
      <c r="T57" s="9">
        <v>0</v>
      </c>
      <c r="U57" s="9">
        <v>0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9">
        <v>0</v>
      </c>
    </row>
    <row r="58" spans="1:27" x14ac:dyDescent="0.45">
      <c r="A58" s="4">
        <v>45406</v>
      </c>
      <c r="B58" s="4">
        <v>45408</v>
      </c>
      <c r="C58" s="5">
        <v>6857</v>
      </c>
      <c r="D58" s="9" t="s">
        <v>242</v>
      </c>
      <c r="E58" s="5" t="s">
        <v>67</v>
      </c>
      <c r="F58" s="5" t="s">
        <v>88</v>
      </c>
      <c r="G58" s="5" t="s">
        <v>89</v>
      </c>
      <c r="H58" s="5" t="s">
        <v>86</v>
      </c>
      <c r="I58" s="5" t="s">
        <v>87</v>
      </c>
      <c r="J58" s="5">
        <v>100</v>
      </c>
      <c r="K58" s="7">
        <v>5443.5</v>
      </c>
      <c r="L58" s="9">
        <v>0</v>
      </c>
      <c r="M58" s="9">
        <v>0</v>
      </c>
      <c r="N58" s="9">
        <v>154</v>
      </c>
      <c r="O58" s="9" t="s">
        <v>90</v>
      </c>
      <c r="P58" s="21">
        <v>25526</v>
      </c>
      <c r="Q58" s="4">
        <v>45398</v>
      </c>
      <c r="R58" s="40">
        <v>5700.3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154</v>
      </c>
      <c r="Z58" s="9">
        <v>0</v>
      </c>
      <c r="AA58" s="9">
        <v>0</v>
      </c>
    </row>
    <row r="59" spans="1:27" x14ac:dyDescent="0.45">
      <c r="A59" s="4">
        <v>45406</v>
      </c>
      <c r="B59" s="4">
        <v>45408</v>
      </c>
      <c r="C59" s="5">
        <v>8035</v>
      </c>
      <c r="D59" s="9" t="s">
        <v>253</v>
      </c>
      <c r="E59" s="5" t="s">
        <v>67</v>
      </c>
      <c r="F59" s="5" t="s">
        <v>88</v>
      </c>
      <c r="G59" s="5" t="s">
        <v>89</v>
      </c>
      <c r="H59" s="5" t="s">
        <v>86</v>
      </c>
      <c r="I59" s="5" t="s">
        <v>87</v>
      </c>
      <c r="J59" s="5">
        <v>100</v>
      </c>
      <c r="K59" s="7">
        <v>34260</v>
      </c>
      <c r="L59" s="9">
        <v>0</v>
      </c>
      <c r="M59" s="9">
        <v>0</v>
      </c>
      <c r="N59" s="9">
        <v>291</v>
      </c>
      <c r="O59" s="9" t="s">
        <v>90</v>
      </c>
      <c r="P59" s="21">
        <v>-203791</v>
      </c>
      <c r="Q59" s="4">
        <v>45404</v>
      </c>
      <c r="R59" s="40">
        <v>32225</v>
      </c>
      <c r="S59" s="9">
        <v>0</v>
      </c>
      <c r="T59" s="9">
        <v>0</v>
      </c>
      <c r="U59" s="9">
        <v>0</v>
      </c>
      <c r="V59" s="9">
        <v>0</v>
      </c>
      <c r="W59" s="9">
        <v>0</v>
      </c>
      <c r="X59" s="9">
        <v>0</v>
      </c>
      <c r="Y59" s="9">
        <v>291</v>
      </c>
      <c r="Z59" s="9">
        <v>0</v>
      </c>
      <c r="AA59" s="9">
        <v>0</v>
      </c>
    </row>
    <row r="60" spans="1:27" x14ac:dyDescent="0.45">
      <c r="A60" s="4">
        <v>45414</v>
      </c>
      <c r="B60" s="4">
        <v>45420</v>
      </c>
      <c r="C60" s="5">
        <v>7735</v>
      </c>
      <c r="D60" s="9" t="s">
        <v>244</v>
      </c>
      <c r="E60" s="5" t="s">
        <v>67</v>
      </c>
      <c r="F60" s="5" t="s">
        <v>88</v>
      </c>
      <c r="G60" s="5" t="s">
        <v>89</v>
      </c>
      <c r="H60" s="5" t="s">
        <v>86</v>
      </c>
      <c r="I60" s="5" t="s">
        <v>87</v>
      </c>
      <c r="J60" s="5">
        <v>100</v>
      </c>
      <c r="K60" s="7">
        <v>16590</v>
      </c>
      <c r="L60" s="9">
        <v>0</v>
      </c>
      <c r="M60" s="9">
        <v>0</v>
      </c>
      <c r="N60" s="9">
        <v>723</v>
      </c>
      <c r="O60" s="9" t="s">
        <v>90</v>
      </c>
      <c r="P60" s="21">
        <v>-59473</v>
      </c>
      <c r="Q60" s="4">
        <v>45404</v>
      </c>
      <c r="R60" s="40">
        <v>16002.5</v>
      </c>
      <c r="S60" s="9">
        <v>0</v>
      </c>
      <c r="T60" s="9">
        <v>0</v>
      </c>
      <c r="U60" s="9">
        <v>0</v>
      </c>
      <c r="V60" s="9">
        <v>0</v>
      </c>
      <c r="W60" s="9">
        <v>0</v>
      </c>
      <c r="X60" s="9">
        <v>0</v>
      </c>
      <c r="Y60" s="9">
        <v>723</v>
      </c>
      <c r="Z60" s="9">
        <v>0</v>
      </c>
      <c r="AA60" s="9">
        <v>0</v>
      </c>
    </row>
    <row r="61" spans="1:27" x14ac:dyDescent="0.45">
      <c r="A61" s="4">
        <v>45428</v>
      </c>
      <c r="B61" s="4">
        <v>45432</v>
      </c>
      <c r="C61" s="5">
        <v>3397</v>
      </c>
      <c r="D61" s="9" t="s">
        <v>110</v>
      </c>
      <c r="E61" s="5" t="s">
        <v>67</v>
      </c>
      <c r="F61" s="5" t="s">
        <v>88</v>
      </c>
      <c r="G61" s="5" t="s">
        <v>89</v>
      </c>
      <c r="H61" s="5" t="s">
        <v>86</v>
      </c>
      <c r="I61" s="5" t="s">
        <v>87</v>
      </c>
      <c r="J61" s="5">
        <v>100</v>
      </c>
      <c r="K61" s="7">
        <v>3634</v>
      </c>
      <c r="L61" s="9">
        <v>0</v>
      </c>
      <c r="M61" s="9">
        <v>0</v>
      </c>
      <c r="N61" s="9">
        <v>324</v>
      </c>
      <c r="O61" s="9" t="s">
        <v>90</v>
      </c>
      <c r="P61" s="21">
        <v>7776</v>
      </c>
      <c r="Q61" s="4">
        <v>45400</v>
      </c>
      <c r="R61" s="40">
        <v>0</v>
      </c>
      <c r="S61" s="9">
        <v>0</v>
      </c>
      <c r="T61" s="9">
        <v>0</v>
      </c>
      <c r="U61" s="9">
        <v>0</v>
      </c>
      <c r="V61" s="9">
        <v>0</v>
      </c>
      <c r="W61" s="9">
        <v>0</v>
      </c>
      <c r="X61" s="9">
        <v>0</v>
      </c>
      <c r="Y61" s="9">
        <v>324</v>
      </c>
      <c r="Z61" s="9">
        <v>0</v>
      </c>
      <c r="AA61" s="9">
        <v>0</v>
      </c>
    </row>
    <row r="62" spans="1:27" x14ac:dyDescent="0.45">
      <c r="A62" s="4">
        <v>45428</v>
      </c>
      <c r="B62" s="4">
        <v>45432</v>
      </c>
      <c r="C62" s="5">
        <v>3397</v>
      </c>
      <c r="D62" s="9" t="s">
        <v>110</v>
      </c>
      <c r="E62" s="5" t="s">
        <v>67</v>
      </c>
      <c r="F62" s="5" t="s">
        <v>88</v>
      </c>
      <c r="G62" s="5" t="s">
        <v>89</v>
      </c>
      <c r="H62" s="5" t="s">
        <v>86</v>
      </c>
      <c r="I62" s="5" t="s">
        <v>87</v>
      </c>
      <c r="J62" s="5">
        <v>100</v>
      </c>
      <c r="K62" s="7">
        <v>3634</v>
      </c>
      <c r="L62" s="9">
        <v>0</v>
      </c>
      <c r="M62" s="9">
        <v>0</v>
      </c>
      <c r="N62" s="9">
        <v>385</v>
      </c>
      <c r="O62" s="9" t="s">
        <v>90</v>
      </c>
      <c r="P62" s="21">
        <v>23365</v>
      </c>
      <c r="Q62" s="4">
        <v>45398</v>
      </c>
      <c r="R62" s="40">
        <v>0</v>
      </c>
      <c r="S62" s="9">
        <v>0</v>
      </c>
      <c r="T62" s="9">
        <v>0</v>
      </c>
      <c r="U62" s="9">
        <v>0</v>
      </c>
      <c r="V62" s="9">
        <v>0</v>
      </c>
      <c r="W62" s="9">
        <v>0</v>
      </c>
      <c r="X62" s="9">
        <v>0</v>
      </c>
      <c r="Y62" s="9">
        <v>385</v>
      </c>
      <c r="Z62" s="9">
        <v>0</v>
      </c>
      <c r="AA62" s="9">
        <v>0</v>
      </c>
    </row>
    <row r="63" spans="1:27" x14ac:dyDescent="0.45">
      <c r="A63" s="4">
        <v>45502</v>
      </c>
      <c r="B63" s="4">
        <v>45504</v>
      </c>
      <c r="C63" s="5">
        <v>4523</v>
      </c>
      <c r="D63" s="9" t="s">
        <v>223</v>
      </c>
      <c r="E63" s="5" t="s">
        <v>67</v>
      </c>
      <c r="F63" s="5" t="s">
        <v>88</v>
      </c>
      <c r="G63" s="5" t="s">
        <v>89</v>
      </c>
      <c r="H63" s="5" t="s">
        <v>86</v>
      </c>
      <c r="I63" s="5" t="s">
        <v>87</v>
      </c>
      <c r="J63" s="5">
        <v>100</v>
      </c>
      <c r="K63" s="7">
        <v>5818</v>
      </c>
      <c r="L63" s="9">
        <v>0</v>
      </c>
      <c r="M63" s="9">
        <v>30</v>
      </c>
      <c r="N63" s="21">
        <v>2077</v>
      </c>
      <c r="O63" s="9" t="s">
        <v>90</v>
      </c>
      <c r="P63" s="21">
        <v>153</v>
      </c>
      <c r="Q63" s="4">
        <v>45400</v>
      </c>
      <c r="R63" s="40">
        <v>5840.6</v>
      </c>
      <c r="S63" s="9">
        <v>0</v>
      </c>
      <c r="T63" s="9">
        <v>0</v>
      </c>
      <c r="U63" s="9">
        <v>0</v>
      </c>
      <c r="V63" s="9">
        <v>0</v>
      </c>
      <c r="W63" s="9">
        <v>0</v>
      </c>
      <c r="X63" s="9">
        <v>0</v>
      </c>
      <c r="Y63" s="21">
        <v>1777</v>
      </c>
      <c r="Z63" s="9">
        <v>300</v>
      </c>
      <c r="AA63" s="9">
        <v>0</v>
      </c>
    </row>
    <row r="64" spans="1:27" x14ac:dyDescent="0.45">
      <c r="A64" s="4">
        <v>45576</v>
      </c>
      <c r="B64" s="4">
        <v>45581</v>
      </c>
      <c r="C64" s="5">
        <v>7974</v>
      </c>
      <c r="D64" s="9" t="s">
        <v>174</v>
      </c>
      <c r="E64" s="5" t="s">
        <v>67</v>
      </c>
      <c r="F64" s="5" t="s">
        <v>88</v>
      </c>
      <c r="G64" s="5" t="s">
        <v>89</v>
      </c>
      <c r="H64" s="5" t="s">
        <v>86</v>
      </c>
      <c r="I64" s="5" t="s">
        <v>87</v>
      </c>
      <c r="J64" s="5">
        <v>100</v>
      </c>
      <c r="K64" s="7">
        <v>7854</v>
      </c>
      <c r="L64" s="9">
        <v>0</v>
      </c>
      <c r="M64" s="9">
        <v>50</v>
      </c>
      <c r="N64" s="19">
        <v>4646</v>
      </c>
      <c r="O64" s="9" t="s">
        <v>90</v>
      </c>
      <c r="P64" s="19">
        <v>-37776</v>
      </c>
      <c r="Q64" s="4">
        <v>45398</v>
      </c>
      <c r="R64" s="19">
        <v>7523</v>
      </c>
      <c r="S64" s="9">
        <v>0</v>
      </c>
      <c r="T64" s="9">
        <v>0</v>
      </c>
      <c r="U64" s="9">
        <v>0</v>
      </c>
      <c r="V64" s="9">
        <v>0</v>
      </c>
      <c r="W64" s="9">
        <v>0</v>
      </c>
      <c r="X64" s="9">
        <v>0</v>
      </c>
      <c r="Y64" s="19">
        <v>4126</v>
      </c>
      <c r="Z64" s="11">
        <v>500</v>
      </c>
      <c r="AA64" s="9">
        <v>0</v>
      </c>
    </row>
    <row r="65" spans="1:27" x14ac:dyDescent="0.45">
      <c r="A65" s="4">
        <v>45631</v>
      </c>
      <c r="B65" s="4">
        <v>45631</v>
      </c>
      <c r="C65" s="5">
        <v>7974</v>
      </c>
      <c r="D65" s="9" t="s">
        <v>174</v>
      </c>
      <c r="E65" s="5" t="s">
        <v>67</v>
      </c>
      <c r="F65" s="5" t="s">
        <v>205</v>
      </c>
      <c r="G65" s="5"/>
      <c r="H65" s="5"/>
      <c r="I65" s="5"/>
      <c r="J65" s="5">
        <v>100</v>
      </c>
      <c r="K65" s="45">
        <v>29.639700000000001</v>
      </c>
      <c r="L65" s="9">
        <v>0</v>
      </c>
      <c r="M65" s="9"/>
      <c r="N65" s="9"/>
      <c r="O65" s="9" t="s">
        <v>281</v>
      </c>
      <c r="P65" s="21">
        <v>-2963</v>
      </c>
      <c r="Q65" s="6" t="s">
        <v>281</v>
      </c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x14ac:dyDescent="0.45">
      <c r="A66" s="4">
        <v>45937</v>
      </c>
      <c r="B66" s="4">
        <v>45939</v>
      </c>
      <c r="C66" s="5">
        <v>3563</v>
      </c>
      <c r="D66" s="9" t="s">
        <v>370</v>
      </c>
      <c r="E66" s="5" t="s">
        <v>67</v>
      </c>
      <c r="F66" s="5" t="s">
        <v>84</v>
      </c>
      <c r="G66" s="5" t="s">
        <v>85</v>
      </c>
      <c r="H66" s="5" t="s">
        <v>86</v>
      </c>
      <c r="I66" s="5" t="s">
        <v>87</v>
      </c>
      <c r="J66" s="5">
        <v>100</v>
      </c>
      <c r="K66" s="7">
        <v>7140</v>
      </c>
      <c r="L66" s="9">
        <v>0</v>
      </c>
      <c r="M66" s="9">
        <v>0</v>
      </c>
      <c r="N66" s="9">
        <v>0</v>
      </c>
      <c r="O66" s="9" t="s">
        <v>376</v>
      </c>
      <c r="P66" s="21">
        <v>0</v>
      </c>
      <c r="Q66" s="6" t="s">
        <v>376</v>
      </c>
      <c r="R66" s="9">
        <v>0</v>
      </c>
      <c r="S66" s="9">
        <v>0</v>
      </c>
      <c r="T66" s="9">
        <v>0</v>
      </c>
      <c r="U66" s="9">
        <v>0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9">
        <v>0</v>
      </c>
    </row>
    <row r="67" spans="1:27" x14ac:dyDescent="0.45">
      <c r="A67" s="4">
        <v>45950</v>
      </c>
      <c r="B67" s="4">
        <v>45952</v>
      </c>
      <c r="C67" s="5">
        <v>3563</v>
      </c>
      <c r="D67" s="9" t="s">
        <v>370</v>
      </c>
      <c r="E67" s="5" t="s">
        <v>67</v>
      </c>
      <c r="F67" s="5" t="s">
        <v>88</v>
      </c>
      <c r="G67" s="5" t="s">
        <v>89</v>
      </c>
      <c r="H67" s="5" t="s">
        <v>86</v>
      </c>
      <c r="I67" s="5" t="s">
        <v>87</v>
      </c>
      <c r="J67" s="5">
        <v>100</v>
      </c>
      <c r="K67" s="7">
        <v>7035.8</v>
      </c>
      <c r="L67" s="9">
        <v>0</v>
      </c>
      <c r="M67" s="9">
        <v>0</v>
      </c>
      <c r="N67" s="9">
        <v>301</v>
      </c>
      <c r="O67" s="9" t="s">
        <v>90</v>
      </c>
      <c r="P67" s="21">
        <v>10119</v>
      </c>
      <c r="Q67" s="4">
        <v>45937</v>
      </c>
      <c r="R67" s="19">
        <v>7140</v>
      </c>
      <c r="S67" s="9">
        <v>0</v>
      </c>
      <c r="T67" s="9">
        <v>0</v>
      </c>
      <c r="U67" s="9">
        <v>0</v>
      </c>
      <c r="V67" s="9">
        <v>0</v>
      </c>
      <c r="W67" s="9">
        <v>0</v>
      </c>
      <c r="X67" s="9">
        <v>0</v>
      </c>
      <c r="Y67" s="9">
        <v>301</v>
      </c>
      <c r="Z67" s="9">
        <v>0</v>
      </c>
      <c r="AA67" s="9">
        <v>0</v>
      </c>
    </row>
    <row r="68" spans="1:27" x14ac:dyDescent="0.45">
      <c r="A68" s="4">
        <v>46084</v>
      </c>
      <c r="B68" s="4">
        <v>46086</v>
      </c>
      <c r="C68" s="5">
        <v>6861</v>
      </c>
      <c r="D68" s="9" t="s">
        <v>442</v>
      </c>
      <c r="E68" s="5" t="s">
        <v>67</v>
      </c>
      <c r="F68" s="5" t="s">
        <v>84</v>
      </c>
      <c r="G68" s="5" t="s">
        <v>85</v>
      </c>
      <c r="H68" s="5" t="s">
        <v>86</v>
      </c>
      <c r="I68" s="5" t="s">
        <v>87</v>
      </c>
      <c r="J68" s="5">
        <v>100</v>
      </c>
      <c r="K68" s="7">
        <v>62760</v>
      </c>
      <c r="L68" s="9">
        <v>0</v>
      </c>
      <c r="M68" s="9">
        <v>0</v>
      </c>
      <c r="N68" s="9">
        <v>0</v>
      </c>
      <c r="O68" s="9" t="s">
        <v>177</v>
      </c>
      <c r="P68" s="21">
        <v>0</v>
      </c>
      <c r="Q68" s="6" t="s">
        <v>449</v>
      </c>
      <c r="R68" s="9">
        <v>0</v>
      </c>
      <c r="S68" s="9">
        <v>0</v>
      </c>
      <c r="T68" s="9">
        <v>0</v>
      </c>
      <c r="U68" s="9">
        <v>0</v>
      </c>
      <c r="V68" s="9">
        <v>0</v>
      </c>
      <c r="W68" s="9">
        <v>0</v>
      </c>
      <c r="X68" s="9">
        <v>0</v>
      </c>
      <c r="Y68" s="9">
        <v>0</v>
      </c>
      <c r="Z68" s="9">
        <v>0</v>
      </c>
      <c r="AA68" s="9">
        <v>0</v>
      </c>
    </row>
    <row r="69" spans="1:27" x14ac:dyDescent="0.45">
      <c r="A69" s="4">
        <v>46085</v>
      </c>
      <c r="B69" s="4">
        <v>46087</v>
      </c>
      <c r="C69" s="5">
        <v>6861</v>
      </c>
      <c r="D69" s="9" t="s">
        <v>442</v>
      </c>
      <c r="E69" s="5" t="s">
        <v>67</v>
      </c>
      <c r="F69" s="5" t="s">
        <v>88</v>
      </c>
      <c r="G69" s="5" t="s">
        <v>89</v>
      </c>
      <c r="H69" s="5" t="s">
        <v>86</v>
      </c>
      <c r="I69" s="5" t="s">
        <v>87</v>
      </c>
      <c r="J69" s="5">
        <v>100</v>
      </c>
      <c r="K69" s="7">
        <v>61160</v>
      </c>
      <c r="L69" s="9">
        <v>0</v>
      </c>
      <c r="M69" s="9">
        <v>0</v>
      </c>
      <c r="N69" s="9">
        <v>483</v>
      </c>
      <c r="O69" s="9" t="s">
        <v>90</v>
      </c>
      <c r="P69" s="31">
        <v>159517</v>
      </c>
      <c r="Q69" s="4">
        <v>46084</v>
      </c>
      <c r="R69" s="54">
        <v>62760</v>
      </c>
      <c r="S69" s="9">
        <v>0</v>
      </c>
      <c r="T69" s="9">
        <v>0</v>
      </c>
      <c r="U69" s="9">
        <v>0</v>
      </c>
      <c r="V69" s="9">
        <v>0</v>
      </c>
      <c r="W69" s="9">
        <v>105</v>
      </c>
      <c r="X69" s="9">
        <v>0</v>
      </c>
      <c r="Y69" s="9">
        <v>378</v>
      </c>
      <c r="Z69" s="9">
        <v>0</v>
      </c>
      <c r="AA69" s="9">
        <v>0</v>
      </c>
    </row>
    <row r="70" spans="1:27" x14ac:dyDescent="0.45">
      <c r="A70" s="4">
        <v>46091</v>
      </c>
      <c r="B70" s="4">
        <v>46093</v>
      </c>
      <c r="C70" s="5">
        <v>5801</v>
      </c>
      <c r="D70" s="9" t="s">
        <v>445</v>
      </c>
      <c r="E70" s="5" t="s">
        <v>67</v>
      </c>
      <c r="F70" s="5" t="s">
        <v>88</v>
      </c>
      <c r="G70" s="5" t="s">
        <v>89</v>
      </c>
      <c r="H70" s="5" t="s">
        <v>86</v>
      </c>
      <c r="I70" s="5" t="s">
        <v>87</v>
      </c>
      <c r="J70" s="5">
        <v>100</v>
      </c>
      <c r="K70" s="7">
        <v>27406</v>
      </c>
      <c r="L70" s="9">
        <v>0</v>
      </c>
      <c r="M70" s="9">
        <v>0</v>
      </c>
      <c r="N70" s="9">
        <v>83</v>
      </c>
      <c r="O70" s="9" t="s">
        <v>90</v>
      </c>
      <c r="P70" s="8">
        <v>18867</v>
      </c>
      <c r="Q70" s="49">
        <v>46091</v>
      </c>
      <c r="R70" s="7">
        <v>27595.5</v>
      </c>
      <c r="S70" s="9">
        <v>0</v>
      </c>
      <c r="T70" s="9">
        <v>0</v>
      </c>
      <c r="U70" s="9">
        <v>0</v>
      </c>
      <c r="V70" s="9">
        <v>0</v>
      </c>
      <c r="W70" s="9">
        <v>0</v>
      </c>
      <c r="X70" s="9">
        <v>0</v>
      </c>
      <c r="Y70" s="9">
        <v>83</v>
      </c>
      <c r="Z70" s="9">
        <v>0</v>
      </c>
      <c r="AA70" s="9">
        <v>0</v>
      </c>
    </row>
    <row r="71" spans="1:27" x14ac:dyDescent="0.45">
      <c r="A71" s="4">
        <v>46091</v>
      </c>
      <c r="B71" s="4">
        <v>46093</v>
      </c>
      <c r="C71" s="5">
        <v>5801</v>
      </c>
      <c r="D71" s="9" t="s">
        <v>445</v>
      </c>
      <c r="E71" s="5" t="s">
        <v>67</v>
      </c>
      <c r="F71" s="5" t="s">
        <v>84</v>
      </c>
      <c r="G71" s="5" t="s">
        <v>85</v>
      </c>
      <c r="H71" s="5" t="s">
        <v>86</v>
      </c>
      <c r="I71" s="5" t="s">
        <v>87</v>
      </c>
      <c r="J71" s="5">
        <v>100</v>
      </c>
      <c r="K71" s="7">
        <v>27595.5</v>
      </c>
      <c r="L71" s="9">
        <v>0</v>
      </c>
      <c r="M71" s="9">
        <v>0</v>
      </c>
      <c r="N71" s="9">
        <v>0</v>
      </c>
      <c r="O71" s="9" t="s">
        <v>31</v>
      </c>
      <c r="P71" s="9">
        <v>0</v>
      </c>
      <c r="Q71" s="9" t="s">
        <v>31</v>
      </c>
      <c r="R71" s="9">
        <v>0</v>
      </c>
      <c r="S71" s="9">
        <v>0</v>
      </c>
      <c r="T71" s="9">
        <v>0</v>
      </c>
      <c r="U71" s="9">
        <v>0</v>
      </c>
      <c r="V71" s="9">
        <v>0</v>
      </c>
      <c r="W71" s="9">
        <v>0</v>
      </c>
      <c r="X71" s="9">
        <v>0</v>
      </c>
      <c r="Y71" s="9">
        <v>0</v>
      </c>
      <c r="Z71" s="9">
        <v>0</v>
      </c>
      <c r="AA71" s="9">
        <v>0</v>
      </c>
    </row>
    <row r="72" spans="1:27" x14ac:dyDescent="0.45">
      <c r="A72" s="4">
        <v>46091</v>
      </c>
      <c r="B72" s="4">
        <v>46093</v>
      </c>
      <c r="C72" s="5">
        <v>5803</v>
      </c>
      <c r="D72" s="9" t="s">
        <v>400</v>
      </c>
      <c r="E72" s="5" t="s">
        <v>67</v>
      </c>
      <c r="F72" s="5" t="s">
        <v>88</v>
      </c>
      <c r="G72" s="5" t="s">
        <v>89</v>
      </c>
      <c r="H72" s="5" t="s">
        <v>86</v>
      </c>
      <c r="I72" s="5" t="s">
        <v>87</v>
      </c>
      <c r="J72" s="5">
        <v>100</v>
      </c>
      <c r="K72" s="7">
        <v>23965</v>
      </c>
      <c r="L72" s="9">
        <v>0</v>
      </c>
      <c r="M72" s="9">
        <v>0</v>
      </c>
      <c r="N72" s="9">
        <v>73</v>
      </c>
      <c r="O72" s="9" t="s">
        <v>90</v>
      </c>
      <c r="P72" s="8">
        <v>39427</v>
      </c>
      <c r="Q72" s="49">
        <v>46091</v>
      </c>
      <c r="R72" s="7">
        <v>24360</v>
      </c>
      <c r="S72" s="9">
        <v>0</v>
      </c>
      <c r="T72" s="9">
        <v>0</v>
      </c>
      <c r="U72" s="9">
        <v>0</v>
      </c>
      <c r="V72" s="9">
        <v>0</v>
      </c>
      <c r="W72" s="9">
        <v>0</v>
      </c>
      <c r="X72" s="9">
        <v>0</v>
      </c>
      <c r="Y72" s="9">
        <v>73</v>
      </c>
      <c r="Z72" s="9">
        <v>0</v>
      </c>
      <c r="AA72" s="9">
        <v>0</v>
      </c>
    </row>
    <row r="73" spans="1:27" x14ac:dyDescent="0.45">
      <c r="A73" s="4">
        <v>46091</v>
      </c>
      <c r="B73" s="4">
        <v>46093</v>
      </c>
      <c r="C73" s="5">
        <v>5803</v>
      </c>
      <c r="D73" s="9" t="s">
        <v>400</v>
      </c>
      <c r="E73" s="5" t="s">
        <v>67</v>
      </c>
      <c r="F73" s="5" t="s">
        <v>84</v>
      </c>
      <c r="G73" s="5" t="s">
        <v>85</v>
      </c>
      <c r="H73" s="5" t="s">
        <v>86</v>
      </c>
      <c r="I73" s="5" t="s">
        <v>87</v>
      </c>
      <c r="J73" s="5">
        <v>100</v>
      </c>
      <c r="K73" s="7">
        <v>24360</v>
      </c>
      <c r="L73" s="9">
        <v>0</v>
      </c>
      <c r="M73" s="9">
        <v>0</v>
      </c>
      <c r="N73" s="9">
        <v>0</v>
      </c>
      <c r="O73" s="9" t="s">
        <v>31</v>
      </c>
      <c r="P73" s="9">
        <v>0</v>
      </c>
      <c r="Q73" s="9" t="s">
        <v>31</v>
      </c>
      <c r="R73" s="9">
        <v>0</v>
      </c>
      <c r="S73" s="9">
        <v>0</v>
      </c>
      <c r="T73" s="9">
        <v>0</v>
      </c>
      <c r="U73" s="9">
        <v>0</v>
      </c>
      <c r="V73" s="9">
        <v>0</v>
      </c>
      <c r="W73" s="9">
        <v>0</v>
      </c>
      <c r="X73" s="9">
        <v>0</v>
      </c>
      <c r="Y73" s="9">
        <v>0</v>
      </c>
      <c r="Z73" s="9">
        <v>0</v>
      </c>
      <c r="AA73" s="9">
        <v>0</v>
      </c>
    </row>
    <row r="74" spans="1:27" x14ac:dyDescent="0.45">
      <c r="A74" s="4">
        <v>46091</v>
      </c>
      <c r="B74" s="4">
        <v>46093</v>
      </c>
      <c r="C74" s="5">
        <v>6146</v>
      </c>
      <c r="D74" s="9" t="s">
        <v>451</v>
      </c>
      <c r="E74" s="5" t="s">
        <v>67</v>
      </c>
      <c r="F74" s="5" t="s">
        <v>88</v>
      </c>
      <c r="G74" s="5" t="s">
        <v>89</v>
      </c>
      <c r="H74" s="5" t="s">
        <v>86</v>
      </c>
      <c r="I74" s="5" t="s">
        <v>87</v>
      </c>
      <c r="J74" s="5">
        <v>100</v>
      </c>
      <c r="K74" s="7">
        <v>69580</v>
      </c>
      <c r="L74" s="9">
        <v>0</v>
      </c>
      <c r="M74" s="9">
        <v>0</v>
      </c>
      <c r="N74" s="9">
        <v>211</v>
      </c>
      <c r="O74" s="9" t="s">
        <v>90</v>
      </c>
      <c r="P74" s="8">
        <v>46089</v>
      </c>
      <c r="Q74" s="49">
        <v>46091</v>
      </c>
      <c r="R74" s="7">
        <v>70043</v>
      </c>
      <c r="S74" s="9">
        <v>0</v>
      </c>
      <c r="T74" s="9">
        <v>0</v>
      </c>
      <c r="U74" s="9">
        <v>0</v>
      </c>
      <c r="V74" s="9">
        <v>0</v>
      </c>
      <c r="W74" s="9">
        <v>0</v>
      </c>
      <c r="X74" s="9">
        <v>0</v>
      </c>
      <c r="Y74" s="9">
        <v>211</v>
      </c>
      <c r="Z74" s="9">
        <v>0</v>
      </c>
      <c r="AA74" s="9">
        <v>0</v>
      </c>
    </row>
    <row r="75" spans="1:27" x14ac:dyDescent="0.45">
      <c r="A75" s="4">
        <v>46091</v>
      </c>
      <c r="B75" s="4">
        <v>46093</v>
      </c>
      <c r="C75" s="5">
        <v>6146</v>
      </c>
      <c r="D75" s="9" t="s">
        <v>451</v>
      </c>
      <c r="E75" s="5" t="s">
        <v>67</v>
      </c>
      <c r="F75" s="5" t="s">
        <v>84</v>
      </c>
      <c r="G75" s="5" t="s">
        <v>85</v>
      </c>
      <c r="H75" s="5" t="s">
        <v>86</v>
      </c>
      <c r="I75" s="5" t="s">
        <v>87</v>
      </c>
      <c r="J75" s="5">
        <v>100</v>
      </c>
      <c r="K75" s="7">
        <v>70043</v>
      </c>
      <c r="L75" s="9">
        <v>0</v>
      </c>
      <c r="M75" s="9">
        <v>0</v>
      </c>
      <c r="N75" s="9">
        <v>0</v>
      </c>
      <c r="O75" s="9" t="s">
        <v>31</v>
      </c>
      <c r="P75" s="9">
        <v>0</v>
      </c>
      <c r="Q75" s="9" t="s">
        <v>31</v>
      </c>
      <c r="R75" s="9">
        <v>0</v>
      </c>
      <c r="S75" s="9">
        <v>0</v>
      </c>
      <c r="T75" s="9">
        <v>0</v>
      </c>
      <c r="U75" s="9">
        <v>0</v>
      </c>
      <c r="V75" s="9">
        <v>0</v>
      </c>
      <c r="W75" s="9">
        <v>0</v>
      </c>
      <c r="X75" s="9">
        <v>0</v>
      </c>
      <c r="Y75" s="9">
        <v>0</v>
      </c>
      <c r="Z75" s="9">
        <v>0</v>
      </c>
      <c r="AA75" s="9">
        <v>0</v>
      </c>
    </row>
    <row r="76" spans="1:27" x14ac:dyDescent="0.45">
      <c r="A76" s="4">
        <v>46106</v>
      </c>
      <c r="B76" s="4">
        <v>46107</v>
      </c>
      <c r="C76" s="5">
        <v>6146</v>
      </c>
      <c r="D76" s="9" t="s">
        <v>451</v>
      </c>
      <c r="E76" s="5" t="s">
        <v>67</v>
      </c>
      <c r="F76" s="5" t="s">
        <v>88</v>
      </c>
      <c r="G76" s="5" t="s">
        <v>85</v>
      </c>
      <c r="H76" s="5" t="s">
        <v>86</v>
      </c>
      <c r="I76" s="5" t="s">
        <v>87</v>
      </c>
      <c r="J76" s="5">
        <v>100</v>
      </c>
      <c r="K76" s="7">
        <v>67240</v>
      </c>
      <c r="L76" s="9">
        <v>0</v>
      </c>
      <c r="M76" s="9">
        <v>0</v>
      </c>
      <c r="N76" s="9">
        <v>0</v>
      </c>
      <c r="O76" s="9" t="s">
        <v>453</v>
      </c>
      <c r="P76" s="8">
        <v>0</v>
      </c>
      <c r="Q76" s="6" t="s">
        <v>453</v>
      </c>
      <c r="R76" s="7">
        <v>0</v>
      </c>
      <c r="S76" s="9">
        <v>0</v>
      </c>
      <c r="T76" s="9">
        <v>0</v>
      </c>
      <c r="U76" s="9">
        <v>0</v>
      </c>
      <c r="V76" s="9">
        <v>0</v>
      </c>
      <c r="W76" s="9">
        <v>0</v>
      </c>
      <c r="X76" s="9">
        <v>0</v>
      </c>
      <c r="Y76" s="9">
        <v>0</v>
      </c>
      <c r="Z76" s="9">
        <v>0</v>
      </c>
      <c r="AA76" s="9">
        <v>0</v>
      </c>
    </row>
    <row r="77" spans="1:27" x14ac:dyDescent="0.45">
      <c r="A77" s="4">
        <v>46107</v>
      </c>
      <c r="B77" s="4">
        <v>46108</v>
      </c>
      <c r="C77" s="5">
        <v>6146</v>
      </c>
      <c r="D77" s="9" t="s">
        <v>451</v>
      </c>
      <c r="E77" s="5" t="s">
        <v>67</v>
      </c>
      <c r="F77" s="5" t="s">
        <v>84</v>
      </c>
      <c r="G77" s="5" t="s">
        <v>89</v>
      </c>
      <c r="H77" s="5" t="s">
        <v>86</v>
      </c>
      <c r="I77" s="5" t="s">
        <v>87</v>
      </c>
      <c r="J77" s="5">
        <v>100</v>
      </c>
      <c r="K77" s="7">
        <v>67270</v>
      </c>
      <c r="L77" s="9">
        <v>0</v>
      </c>
      <c r="M77" s="9">
        <v>0</v>
      </c>
      <c r="N77" s="9">
        <v>810</v>
      </c>
      <c r="O77" s="9"/>
      <c r="P77" s="21">
        <v>-3810</v>
      </c>
      <c r="Q77" s="4">
        <v>46106</v>
      </c>
      <c r="R77" s="9">
        <v>67240</v>
      </c>
      <c r="S77" s="9">
        <v>0</v>
      </c>
      <c r="T77" s="9">
        <v>0</v>
      </c>
      <c r="U77" s="9">
        <v>0</v>
      </c>
      <c r="V77" s="9">
        <v>0</v>
      </c>
      <c r="W77" s="9">
        <v>0</v>
      </c>
      <c r="X77" s="9">
        <v>0</v>
      </c>
      <c r="Y77" s="9">
        <v>810</v>
      </c>
      <c r="Z77" s="9">
        <v>0</v>
      </c>
      <c r="AA77" s="9">
        <v>0</v>
      </c>
    </row>
  </sheetData>
  <autoFilter ref="A1:AA1" xr:uid="{00000000-0009-0000-0000-000004000000}"/>
  <phoneticPr fontId="18"/>
  <pageMargins left="0.7" right="0.7" top="0.75" bottom="0.75" header="0.3" footer="0.3"/>
  <pageSetup paperSize="9" scale="15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/>
  </sheetPr>
  <dimension ref="A1:K69"/>
  <sheetViews>
    <sheetView zoomScale="90" zoomScaleNormal="9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I33" sqref="I33"/>
    </sheetView>
  </sheetViews>
  <sheetFormatPr defaultRowHeight="18" x14ac:dyDescent="0.45"/>
  <cols>
    <col min="1" max="2" width="11.296875" style="1" bestFit="1" customWidth="1"/>
    <col min="3" max="3" width="39.8984375" customWidth="1"/>
    <col min="4" max="4" width="11.19921875" style="2" bestFit="1" customWidth="1"/>
    <col min="5" max="5" width="18.3984375" style="2" bestFit="1" customWidth="1"/>
    <col min="6" max="6" width="9.296875" style="2" bestFit="1" customWidth="1"/>
    <col min="7" max="7" width="13" style="2" bestFit="1" customWidth="1"/>
    <col min="8" max="8" width="15.09765625" bestFit="1" customWidth="1"/>
    <col min="9" max="9" width="9.296875" bestFit="1" customWidth="1"/>
    <col min="10" max="11" width="16.69921875" bestFit="1" customWidth="1"/>
  </cols>
  <sheetData>
    <row r="1" spans="1:11" x14ac:dyDescent="0.45">
      <c r="A1" s="16" t="s">
        <v>0</v>
      </c>
      <c r="B1" s="16" t="s">
        <v>1</v>
      </c>
      <c r="C1" s="16" t="s">
        <v>152</v>
      </c>
      <c r="D1" s="16" t="s">
        <v>153</v>
      </c>
      <c r="E1" s="16" t="s">
        <v>4</v>
      </c>
      <c r="F1" s="16" t="s">
        <v>154</v>
      </c>
      <c r="G1" s="16" t="s">
        <v>155</v>
      </c>
      <c r="H1" s="16" t="s">
        <v>156</v>
      </c>
      <c r="I1" s="16" t="s">
        <v>157</v>
      </c>
      <c r="J1" s="16" t="s">
        <v>164</v>
      </c>
      <c r="K1" s="13" t="s">
        <v>165</v>
      </c>
    </row>
    <row r="2" spans="1:11" x14ac:dyDescent="0.45">
      <c r="A2" s="4">
        <v>45601</v>
      </c>
      <c r="B2" s="4">
        <v>45607</v>
      </c>
      <c r="C2" s="9" t="s">
        <v>282</v>
      </c>
      <c r="D2" s="5" t="s">
        <v>159</v>
      </c>
      <c r="E2" s="5" t="s">
        <v>283</v>
      </c>
      <c r="F2" s="5" t="s">
        <v>30</v>
      </c>
      <c r="G2" s="5" t="s">
        <v>284</v>
      </c>
      <c r="H2" s="19">
        <v>19146</v>
      </c>
      <c r="I2" s="19">
        <v>26115</v>
      </c>
      <c r="J2" s="19">
        <v>50000</v>
      </c>
      <c r="K2" s="21">
        <v>0</v>
      </c>
    </row>
    <row r="3" spans="1:11" x14ac:dyDescent="0.45">
      <c r="A3" s="4">
        <v>45609</v>
      </c>
      <c r="B3" s="4">
        <v>45615</v>
      </c>
      <c r="C3" s="9" t="s">
        <v>282</v>
      </c>
      <c r="D3" s="5" t="s">
        <v>159</v>
      </c>
      <c r="E3" s="5" t="s">
        <v>283</v>
      </c>
      <c r="F3" s="5" t="s">
        <v>30</v>
      </c>
      <c r="G3" s="5" t="s">
        <v>284</v>
      </c>
      <c r="H3" s="19">
        <v>18359</v>
      </c>
      <c r="I3" s="19">
        <v>27235</v>
      </c>
      <c r="J3" s="19">
        <v>50000</v>
      </c>
      <c r="K3" s="21">
        <v>0</v>
      </c>
    </row>
    <row r="4" spans="1:11" x14ac:dyDescent="0.45">
      <c r="A4" s="4">
        <v>45629</v>
      </c>
      <c r="B4" s="4">
        <v>45635</v>
      </c>
      <c r="C4" s="9" t="s">
        <v>282</v>
      </c>
      <c r="D4" s="5" t="s">
        <v>159</v>
      </c>
      <c r="E4" s="5" t="s">
        <v>283</v>
      </c>
      <c r="F4" s="5" t="s">
        <v>30</v>
      </c>
      <c r="G4" s="5" t="s">
        <v>284</v>
      </c>
      <c r="H4" s="19">
        <v>18746</v>
      </c>
      <c r="I4" s="19">
        <v>26673</v>
      </c>
      <c r="J4" s="19">
        <v>50000</v>
      </c>
      <c r="K4" s="21">
        <v>0</v>
      </c>
    </row>
    <row r="5" spans="1:11" x14ac:dyDescent="0.45">
      <c r="A5" s="4">
        <v>45639</v>
      </c>
      <c r="B5" s="4">
        <v>45645</v>
      </c>
      <c r="C5" s="9" t="s">
        <v>282</v>
      </c>
      <c r="D5" s="5" t="s">
        <v>159</v>
      </c>
      <c r="E5" s="5" t="s">
        <v>283</v>
      </c>
      <c r="F5" s="5" t="s">
        <v>30</v>
      </c>
      <c r="G5" s="5" t="s">
        <v>284</v>
      </c>
      <c r="H5" s="19">
        <v>18324</v>
      </c>
      <c r="I5" s="19">
        <v>27287</v>
      </c>
      <c r="J5" s="19">
        <v>50000</v>
      </c>
      <c r="K5" s="21">
        <v>0</v>
      </c>
    </row>
    <row r="6" spans="1:11" x14ac:dyDescent="0.45">
      <c r="A6" s="4">
        <v>45664</v>
      </c>
      <c r="B6" s="4">
        <v>45671</v>
      </c>
      <c r="C6" s="9" t="s">
        <v>282</v>
      </c>
      <c r="D6" s="5" t="s">
        <v>159</v>
      </c>
      <c r="E6" s="5" t="s">
        <v>283</v>
      </c>
      <c r="F6" s="5" t="s">
        <v>30</v>
      </c>
      <c r="G6" s="5" t="s">
        <v>284</v>
      </c>
      <c r="H6" s="21">
        <v>18006</v>
      </c>
      <c r="I6" s="21">
        <v>27769</v>
      </c>
      <c r="J6" s="21">
        <v>50000</v>
      </c>
      <c r="K6" s="21">
        <v>0</v>
      </c>
    </row>
    <row r="7" spans="1:11" x14ac:dyDescent="0.45">
      <c r="A7" s="4">
        <v>45672</v>
      </c>
      <c r="B7" s="4">
        <v>45678</v>
      </c>
      <c r="C7" s="9" t="s">
        <v>282</v>
      </c>
      <c r="D7" s="5" t="s">
        <v>159</v>
      </c>
      <c r="E7" s="5" t="s">
        <v>283</v>
      </c>
      <c r="F7" s="5" t="s">
        <v>30</v>
      </c>
      <c r="G7" s="5" t="s">
        <v>284</v>
      </c>
      <c r="H7" s="21">
        <v>18423</v>
      </c>
      <c r="I7" s="21">
        <v>27141</v>
      </c>
      <c r="J7" s="21">
        <v>50000</v>
      </c>
      <c r="K7" s="21">
        <v>0</v>
      </c>
    </row>
    <row r="8" spans="1:11" x14ac:dyDescent="0.45">
      <c r="A8" s="4">
        <v>45692</v>
      </c>
      <c r="B8" s="4">
        <v>45698</v>
      </c>
      <c r="C8" s="9" t="s">
        <v>282</v>
      </c>
      <c r="D8" s="5" t="s">
        <v>159</v>
      </c>
      <c r="E8" s="5" t="s">
        <v>283</v>
      </c>
      <c r="F8" s="5" t="s">
        <v>30</v>
      </c>
      <c r="G8" s="5" t="s">
        <v>284</v>
      </c>
      <c r="H8" s="21">
        <v>18189</v>
      </c>
      <c r="I8" s="21">
        <v>27489</v>
      </c>
      <c r="J8" s="21">
        <v>50000</v>
      </c>
      <c r="K8" s="21">
        <v>0</v>
      </c>
    </row>
    <row r="9" spans="1:11" x14ac:dyDescent="0.45">
      <c r="A9" s="4">
        <v>45701</v>
      </c>
      <c r="B9" s="4">
        <v>45707</v>
      </c>
      <c r="C9" s="9" t="s">
        <v>282</v>
      </c>
      <c r="D9" s="5" t="s">
        <v>159</v>
      </c>
      <c r="E9" s="5" t="s">
        <v>283</v>
      </c>
      <c r="F9" s="5" t="s">
        <v>30</v>
      </c>
      <c r="G9" s="5" t="s">
        <v>284</v>
      </c>
      <c r="H9" s="21">
        <v>17997</v>
      </c>
      <c r="I9" s="21">
        <v>27783</v>
      </c>
      <c r="J9" s="21">
        <v>50000</v>
      </c>
      <c r="K9" s="21">
        <v>0</v>
      </c>
    </row>
    <row r="10" spans="1:11" x14ac:dyDescent="0.45">
      <c r="A10" s="4">
        <v>45720</v>
      </c>
      <c r="B10" s="4">
        <v>45726</v>
      </c>
      <c r="C10" s="9" t="s">
        <v>282</v>
      </c>
      <c r="D10" s="5" t="s">
        <v>159</v>
      </c>
      <c r="E10" s="5" t="s">
        <v>283</v>
      </c>
      <c r="F10" s="5" t="s">
        <v>30</v>
      </c>
      <c r="G10" s="5" t="s">
        <v>284</v>
      </c>
      <c r="H10" s="21">
        <v>19004</v>
      </c>
      <c r="I10" s="21">
        <v>26311</v>
      </c>
      <c r="J10" s="21">
        <v>50000</v>
      </c>
      <c r="K10" s="21">
        <v>0</v>
      </c>
    </row>
    <row r="11" spans="1:11" x14ac:dyDescent="0.45">
      <c r="A11" s="4">
        <v>45720</v>
      </c>
      <c r="B11" s="4">
        <v>45726</v>
      </c>
      <c r="C11" s="9" t="s">
        <v>282</v>
      </c>
      <c r="D11" s="5" t="s">
        <v>159</v>
      </c>
      <c r="E11" s="5" t="s">
        <v>283</v>
      </c>
      <c r="F11" s="5" t="s">
        <v>30</v>
      </c>
      <c r="G11" s="5" t="s">
        <v>284</v>
      </c>
      <c r="H11" s="21">
        <v>19004</v>
      </c>
      <c r="I11" s="21">
        <v>26311</v>
      </c>
      <c r="J11" s="21">
        <v>50000</v>
      </c>
      <c r="K11" s="21">
        <v>0</v>
      </c>
    </row>
    <row r="12" spans="1:11" x14ac:dyDescent="0.45">
      <c r="A12" s="4">
        <v>45729</v>
      </c>
      <c r="B12" s="4">
        <v>45735</v>
      </c>
      <c r="C12" s="9" t="s">
        <v>282</v>
      </c>
      <c r="D12" s="5" t="s">
        <v>159</v>
      </c>
      <c r="E12" s="5" t="s">
        <v>283</v>
      </c>
      <c r="F12" s="5" t="s">
        <v>30</v>
      </c>
      <c r="G12" s="5" t="s">
        <v>284</v>
      </c>
      <c r="H12" s="21">
        <v>19682</v>
      </c>
      <c r="I12" s="21">
        <v>25404</v>
      </c>
      <c r="J12" s="21">
        <v>50000</v>
      </c>
      <c r="K12" s="21">
        <v>0</v>
      </c>
    </row>
    <row r="13" spans="1:11" x14ac:dyDescent="0.45">
      <c r="A13" s="4">
        <v>45749</v>
      </c>
      <c r="B13" s="4">
        <v>45755</v>
      </c>
      <c r="C13" s="9" t="s">
        <v>282</v>
      </c>
      <c r="D13" s="5" t="s">
        <v>159</v>
      </c>
      <c r="E13" s="5" t="s">
        <v>283</v>
      </c>
      <c r="F13" s="5" t="s">
        <v>30</v>
      </c>
      <c r="G13" s="5" t="s">
        <v>284</v>
      </c>
      <c r="H13" s="21">
        <v>19431</v>
      </c>
      <c r="I13" s="21">
        <v>25733</v>
      </c>
      <c r="J13" s="21">
        <v>50000</v>
      </c>
      <c r="K13" s="21">
        <v>0</v>
      </c>
    </row>
    <row r="14" spans="1:11" x14ac:dyDescent="0.45">
      <c r="A14" s="4">
        <v>45762</v>
      </c>
      <c r="B14" s="4">
        <v>45768</v>
      </c>
      <c r="C14" s="9" t="s">
        <v>282</v>
      </c>
      <c r="D14" s="5" t="s">
        <v>159</v>
      </c>
      <c r="E14" s="5" t="s">
        <v>283</v>
      </c>
      <c r="F14" s="5" t="s">
        <v>30</v>
      </c>
      <c r="G14" s="5" t="s">
        <v>284</v>
      </c>
      <c r="H14" s="21">
        <v>21042</v>
      </c>
      <c r="I14" s="21">
        <v>23762</v>
      </c>
      <c r="J14" s="21">
        <v>50000</v>
      </c>
      <c r="K14" s="21">
        <v>0</v>
      </c>
    </row>
    <row r="15" spans="1:11" x14ac:dyDescent="0.45">
      <c r="A15" s="4">
        <v>45790</v>
      </c>
      <c r="B15" s="4">
        <v>45796</v>
      </c>
      <c r="C15" s="9" t="s">
        <v>282</v>
      </c>
      <c r="D15" s="5" t="s">
        <v>159</v>
      </c>
      <c r="E15" s="5" t="s">
        <v>283</v>
      </c>
      <c r="F15" s="5" t="s">
        <v>30</v>
      </c>
      <c r="G15" s="5" t="s">
        <v>284</v>
      </c>
      <c r="H15" s="21">
        <v>18858</v>
      </c>
      <c r="I15" s="21">
        <v>26515</v>
      </c>
      <c r="J15" s="21">
        <v>50000</v>
      </c>
      <c r="K15" s="21">
        <v>0</v>
      </c>
    </row>
    <row r="16" spans="1:11" x14ac:dyDescent="0.45">
      <c r="A16" s="4">
        <v>45821</v>
      </c>
      <c r="B16" s="4">
        <v>45827</v>
      </c>
      <c r="C16" s="9" t="s">
        <v>282</v>
      </c>
      <c r="D16" s="5" t="s">
        <v>159</v>
      </c>
      <c r="E16" s="5" t="s">
        <v>283</v>
      </c>
      <c r="F16" s="5" t="s">
        <v>30</v>
      </c>
      <c r="G16" s="5" t="s">
        <v>284</v>
      </c>
      <c r="H16" s="21">
        <v>11243</v>
      </c>
      <c r="I16" s="21">
        <v>26685</v>
      </c>
      <c r="J16" s="21">
        <v>30000</v>
      </c>
      <c r="K16" s="21">
        <v>0</v>
      </c>
    </row>
    <row r="17" spans="1:11" x14ac:dyDescent="0.45">
      <c r="A17" s="4">
        <v>45853</v>
      </c>
      <c r="B17" s="4">
        <v>45860</v>
      </c>
      <c r="C17" s="9" t="s">
        <v>282</v>
      </c>
      <c r="D17" s="5" t="s">
        <v>159</v>
      </c>
      <c r="E17" s="5" t="s">
        <v>283</v>
      </c>
      <c r="F17" s="5" t="s">
        <v>298</v>
      </c>
      <c r="G17" s="5"/>
      <c r="H17" s="21">
        <v>275454</v>
      </c>
      <c r="I17" s="21">
        <v>28320</v>
      </c>
      <c r="J17" s="21">
        <v>780086</v>
      </c>
      <c r="K17" s="21">
        <v>50077</v>
      </c>
    </row>
    <row r="18" spans="1:11" x14ac:dyDescent="0.45">
      <c r="A18" s="4">
        <v>45853</v>
      </c>
      <c r="B18" s="4">
        <v>45860</v>
      </c>
      <c r="C18" s="9" t="s">
        <v>282</v>
      </c>
      <c r="D18" s="5" t="s">
        <v>159</v>
      </c>
      <c r="E18" s="5" t="s">
        <v>283</v>
      </c>
      <c r="F18" s="5" t="s">
        <v>30</v>
      </c>
      <c r="G18" s="5" t="s">
        <v>284</v>
      </c>
      <c r="H18" s="21">
        <v>10594</v>
      </c>
      <c r="I18" s="21">
        <v>28320</v>
      </c>
      <c r="J18" s="21">
        <v>30000</v>
      </c>
      <c r="K18" s="21">
        <v>0</v>
      </c>
    </row>
    <row r="19" spans="1:11" x14ac:dyDescent="0.45">
      <c r="A19" s="4">
        <v>45882</v>
      </c>
      <c r="B19" s="4">
        <v>45888</v>
      </c>
      <c r="C19" s="9" t="s">
        <v>282</v>
      </c>
      <c r="D19" s="5" t="s">
        <v>159</v>
      </c>
      <c r="E19" s="5" t="s">
        <v>283</v>
      </c>
      <c r="F19" s="5" t="s">
        <v>30</v>
      </c>
      <c r="G19" s="5" t="s">
        <v>284</v>
      </c>
      <c r="H19" s="21">
        <v>10298</v>
      </c>
      <c r="I19" s="21">
        <v>29132</v>
      </c>
      <c r="J19" s="21">
        <v>30000</v>
      </c>
      <c r="K19" s="21">
        <v>0</v>
      </c>
    </row>
    <row r="20" spans="1:11" x14ac:dyDescent="0.45">
      <c r="A20" s="4">
        <v>45916</v>
      </c>
      <c r="B20" s="4">
        <v>45922</v>
      </c>
      <c r="C20" s="9" t="s">
        <v>282</v>
      </c>
      <c r="D20" s="5" t="s">
        <v>159</v>
      </c>
      <c r="E20" s="5" t="s">
        <v>283</v>
      </c>
      <c r="F20" s="5" t="s">
        <v>30</v>
      </c>
      <c r="G20" s="5" t="s">
        <v>284</v>
      </c>
      <c r="H20" s="21">
        <v>10002</v>
      </c>
      <c r="I20" s="21">
        <v>29995</v>
      </c>
      <c r="J20" s="21">
        <v>30000</v>
      </c>
      <c r="K20" s="21">
        <v>0</v>
      </c>
    </row>
    <row r="21" spans="1:11" x14ac:dyDescent="0.45">
      <c r="A21" s="4">
        <v>45945</v>
      </c>
      <c r="B21" s="4">
        <v>45951</v>
      </c>
      <c r="C21" s="9" t="s">
        <v>282</v>
      </c>
      <c r="D21" s="5" t="s">
        <v>159</v>
      </c>
      <c r="E21" s="5" t="s">
        <v>283</v>
      </c>
      <c r="F21" s="5" t="s">
        <v>30</v>
      </c>
      <c r="G21" s="5" t="s">
        <v>284</v>
      </c>
      <c r="H21" s="21">
        <v>9691</v>
      </c>
      <c r="I21" s="21">
        <v>30957</v>
      </c>
      <c r="J21" s="21">
        <v>30000</v>
      </c>
      <c r="K21" s="21">
        <v>0</v>
      </c>
    </row>
    <row r="22" spans="1:11" x14ac:dyDescent="0.45">
      <c r="A22" s="4">
        <v>45974</v>
      </c>
      <c r="B22" s="4">
        <v>45980</v>
      </c>
      <c r="C22" s="9" t="s">
        <v>282</v>
      </c>
      <c r="D22" s="5" t="s">
        <v>159</v>
      </c>
      <c r="E22" s="5" t="s">
        <v>283</v>
      </c>
      <c r="F22" s="5" t="s">
        <v>30</v>
      </c>
      <c r="G22" s="5" t="s">
        <v>284</v>
      </c>
      <c r="H22" s="21">
        <v>9172</v>
      </c>
      <c r="I22" s="21">
        <v>32708</v>
      </c>
      <c r="J22" s="21">
        <v>30000</v>
      </c>
      <c r="K22" s="21">
        <v>0</v>
      </c>
    </row>
    <row r="23" spans="1:11" x14ac:dyDescent="0.45">
      <c r="A23" s="4">
        <v>46006</v>
      </c>
      <c r="B23" s="4">
        <v>46010</v>
      </c>
      <c r="C23" s="9" t="s">
        <v>282</v>
      </c>
      <c r="D23" s="5" t="s">
        <v>159</v>
      </c>
      <c r="E23" s="5" t="s">
        <v>283</v>
      </c>
      <c r="F23" s="5" t="s">
        <v>30</v>
      </c>
      <c r="G23" s="5" t="s">
        <v>284</v>
      </c>
      <c r="H23" s="21">
        <v>9129</v>
      </c>
      <c r="I23" s="21">
        <v>32863</v>
      </c>
      <c r="J23" s="21">
        <v>30000</v>
      </c>
      <c r="K23" s="21">
        <v>0</v>
      </c>
    </row>
    <row r="24" spans="1:11" x14ac:dyDescent="0.45">
      <c r="A24" s="4">
        <v>46036</v>
      </c>
      <c r="B24" s="4">
        <v>46042</v>
      </c>
      <c r="C24" s="9" t="s">
        <v>282</v>
      </c>
      <c r="D24" s="5" t="s">
        <v>159</v>
      </c>
      <c r="E24" s="5" t="s">
        <v>283</v>
      </c>
      <c r="F24" s="5" t="s">
        <v>30</v>
      </c>
      <c r="G24" s="5" t="s">
        <v>284</v>
      </c>
      <c r="H24" s="21">
        <v>8682</v>
      </c>
      <c r="I24" s="21">
        <v>34555</v>
      </c>
      <c r="J24" s="21">
        <v>30000</v>
      </c>
      <c r="K24" s="21">
        <v>0</v>
      </c>
    </row>
    <row r="25" spans="1:11" x14ac:dyDescent="0.45">
      <c r="A25" s="4">
        <v>46066</v>
      </c>
      <c r="B25" s="4">
        <v>46072</v>
      </c>
      <c r="C25" s="9" t="s">
        <v>282</v>
      </c>
      <c r="D25" s="5" t="s">
        <v>159</v>
      </c>
      <c r="E25" s="5" t="s">
        <v>283</v>
      </c>
      <c r="F25" s="5" t="s">
        <v>30</v>
      </c>
      <c r="G25" s="5" t="s">
        <v>284</v>
      </c>
      <c r="H25" s="21">
        <v>8992</v>
      </c>
      <c r="I25" s="21">
        <v>33366</v>
      </c>
      <c r="J25" s="21">
        <v>30000</v>
      </c>
      <c r="K25" s="21">
        <v>0</v>
      </c>
    </row>
    <row r="26" spans="1:11" x14ac:dyDescent="0.45">
      <c r="A26" s="4">
        <v>46094</v>
      </c>
      <c r="B26" s="4">
        <v>46100</v>
      </c>
      <c r="C26" s="9" t="s">
        <v>282</v>
      </c>
      <c r="D26" s="5" t="s">
        <v>159</v>
      </c>
      <c r="E26" s="5" t="s">
        <v>283</v>
      </c>
      <c r="F26" s="5" t="s">
        <v>30</v>
      </c>
      <c r="G26" s="5" t="s">
        <v>284</v>
      </c>
      <c r="H26" s="21">
        <v>8935</v>
      </c>
      <c r="I26" s="21">
        <v>33579</v>
      </c>
      <c r="J26" s="21">
        <v>30000</v>
      </c>
      <c r="K26" s="21">
        <v>0</v>
      </c>
    </row>
    <row r="27" spans="1:11" x14ac:dyDescent="0.45">
      <c r="A27" s="4">
        <v>45945</v>
      </c>
      <c r="B27" s="4">
        <v>45950</v>
      </c>
      <c r="C27" s="9" t="s">
        <v>377</v>
      </c>
      <c r="D27" s="5" t="s">
        <v>159</v>
      </c>
      <c r="E27" s="5" t="s">
        <v>283</v>
      </c>
      <c r="F27" s="5" t="s">
        <v>30</v>
      </c>
      <c r="G27" s="5" t="s">
        <v>284</v>
      </c>
      <c r="H27" s="21">
        <v>40242</v>
      </c>
      <c r="I27" s="21">
        <v>17395</v>
      </c>
      <c r="J27" s="21">
        <v>70000</v>
      </c>
      <c r="K27" s="21">
        <v>0</v>
      </c>
    </row>
    <row r="28" spans="1:11" x14ac:dyDescent="0.45">
      <c r="A28" s="4">
        <v>45974</v>
      </c>
      <c r="B28" s="4">
        <v>45979</v>
      </c>
      <c r="C28" s="9" t="s">
        <v>377</v>
      </c>
      <c r="D28" s="5" t="s">
        <v>159</v>
      </c>
      <c r="E28" s="5" t="s">
        <v>283</v>
      </c>
      <c r="F28" s="5" t="s">
        <v>30</v>
      </c>
      <c r="G28" s="5" t="s">
        <v>284</v>
      </c>
      <c r="H28" s="21">
        <v>38038</v>
      </c>
      <c r="I28" s="21">
        <v>18403</v>
      </c>
      <c r="J28" s="21">
        <v>70000</v>
      </c>
      <c r="K28" s="21">
        <v>0</v>
      </c>
    </row>
    <row r="29" spans="1:11" x14ac:dyDescent="0.45">
      <c r="A29" s="4">
        <v>46006</v>
      </c>
      <c r="B29" s="4">
        <v>46009</v>
      </c>
      <c r="C29" s="9" t="s">
        <v>377</v>
      </c>
      <c r="D29" s="5" t="s">
        <v>159</v>
      </c>
      <c r="E29" s="5" t="s">
        <v>283</v>
      </c>
      <c r="F29" s="5" t="s">
        <v>30</v>
      </c>
      <c r="G29" s="5" t="s">
        <v>284</v>
      </c>
      <c r="H29" s="21">
        <v>37910</v>
      </c>
      <c r="I29" s="21">
        <v>18465</v>
      </c>
      <c r="J29" s="21">
        <v>70000</v>
      </c>
      <c r="K29" s="21">
        <v>0</v>
      </c>
    </row>
    <row r="30" spans="1:11" x14ac:dyDescent="0.45">
      <c r="A30" s="4">
        <v>46036</v>
      </c>
      <c r="B30" s="4">
        <v>46041</v>
      </c>
      <c r="C30" s="9" t="s">
        <v>377</v>
      </c>
      <c r="D30" s="5" t="s">
        <v>159</v>
      </c>
      <c r="E30" s="5" t="s">
        <v>283</v>
      </c>
      <c r="F30" s="5" t="s">
        <v>30</v>
      </c>
      <c r="G30" s="5" t="s">
        <v>284</v>
      </c>
      <c r="H30" s="21">
        <v>35338</v>
      </c>
      <c r="I30" s="21">
        <v>19809</v>
      </c>
      <c r="J30" s="21">
        <v>70000</v>
      </c>
      <c r="K30" s="21">
        <v>0</v>
      </c>
    </row>
    <row r="31" spans="1:11" x14ac:dyDescent="0.45">
      <c r="A31" s="4">
        <v>46066</v>
      </c>
      <c r="B31" s="4">
        <v>46071</v>
      </c>
      <c r="C31" s="9" t="s">
        <v>377</v>
      </c>
      <c r="D31" s="5" t="s">
        <v>159</v>
      </c>
      <c r="E31" s="5" t="s">
        <v>283</v>
      </c>
      <c r="F31" s="5" t="s">
        <v>30</v>
      </c>
      <c r="G31" s="5" t="s">
        <v>284</v>
      </c>
      <c r="H31" s="21">
        <v>34978</v>
      </c>
      <c r="I31" s="21">
        <v>20013</v>
      </c>
      <c r="J31" s="21">
        <v>70000</v>
      </c>
      <c r="K31" s="21">
        <v>0</v>
      </c>
    </row>
    <row r="32" spans="1:11" x14ac:dyDescent="0.45">
      <c r="A32" s="4">
        <v>46094</v>
      </c>
      <c r="B32" s="4">
        <v>46099</v>
      </c>
      <c r="C32" s="9" t="s">
        <v>377</v>
      </c>
      <c r="D32" s="5" t="s">
        <v>159</v>
      </c>
      <c r="E32" s="5" t="s">
        <v>283</v>
      </c>
      <c r="F32" s="5" t="s">
        <v>30</v>
      </c>
      <c r="G32" s="5" t="s">
        <v>284</v>
      </c>
      <c r="H32" s="21">
        <v>35624</v>
      </c>
      <c r="I32" s="21">
        <v>19650</v>
      </c>
      <c r="J32" s="21">
        <v>70000</v>
      </c>
      <c r="K32" s="21">
        <v>0</v>
      </c>
    </row>
    <row r="33" spans="1:11" x14ac:dyDescent="0.45">
      <c r="A33" s="4">
        <v>44368</v>
      </c>
      <c r="B33" s="4">
        <v>44371</v>
      </c>
      <c r="C33" s="9" t="s">
        <v>163</v>
      </c>
      <c r="D33" s="5" t="s">
        <v>159</v>
      </c>
      <c r="E33" s="5" t="s">
        <v>295</v>
      </c>
      <c r="F33" s="5" t="s">
        <v>30</v>
      </c>
      <c r="G33" s="5" t="s">
        <v>160</v>
      </c>
      <c r="H33" s="8">
        <v>21735</v>
      </c>
      <c r="I33" s="8">
        <v>13803</v>
      </c>
      <c r="J33" s="8">
        <v>30000</v>
      </c>
      <c r="K33" s="21">
        <v>0</v>
      </c>
    </row>
    <row r="34" spans="1:11" x14ac:dyDescent="0.45">
      <c r="A34" s="4">
        <v>44377</v>
      </c>
      <c r="B34" s="4">
        <v>44382</v>
      </c>
      <c r="C34" s="9" t="s">
        <v>163</v>
      </c>
      <c r="D34" s="5" t="s">
        <v>159</v>
      </c>
      <c r="E34" s="5" t="s">
        <v>295</v>
      </c>
      <c r="F34" s="5" t="s">
        <v>30</v>
      </c>
      <c r="G34" s="5" t="s">
        <v>160</v>
      </c>
      <c r="H34" s="8">
        <v>7034</v>
      </c>
      <c r="I34" s="8">
        <v>14217</v>
      </c>
      <c r="J34" s="8">
        <v>10000</v>
      </c>
      <c r="K34" s="21">
        <v>0</v>
      </c>
    </row>
    <row r="35" spans="1:11" x14ac:dyDescent="0.45">
      <c r="A35" s="4">
        <v>44529</v>
      </c>
      <c r="B35" s="4">
        <v>44532</v>
      </c>
      <c r="C35" s="9" t="s">
        <v>163</v>
      </c>
      <c r="D35" s="5" t="s">
        <v>159</v>
      </c>
      <c r="E35" s="5" t="s">
        <v>295</v>
      </c>
      <c r="F35" s="5" t="s">
        <v>298</v>
      </c>
      <c r="G35" s="5"/>
      <c r="H35" s="8">
        <v>28769</v>
      </c>
      <c r="I35" s="8">
        <v>13383</v>
      </c>
      <c r="J35" s="8">
        <v>38502</v>
      </c>
      <c r="K35" s="19">
        <v>-1498</v>
      </c>
    </row>
    <row r="36" spans="1:11" x14ac:dyDescent="0.45">
      <c r="A36" s="4">
        <v>44403</v>
      </c>
      <c r="B36" s="4">
        <v>44406</v>
      </c>
      <c r="C36" s="9" t="s">
        <v>163</v>
      </c>
      <c r="D36" s="5" t="s">
        <v>159</v>
      </c>
      <c r="E36" s="5" t="s">
        <v>67</v>
      </c>
      <c r="F36" s="5" t="s">
        <v>30</v>
      </c>
      <c r="G36" s="5" t="s">
        <v>160</v>
      </c>
      <c r="H36" s="8">
        <v>7310</v>
      </c>
      <c r="I36" s="8">
        <v>13681</v>
      </c>
      <c r="J36" s="8">
        <v>10000</v>
      </c>
      <c r="K36" s="21">
        <v>0</v>
      </c>
    </row>
    <row r="37" spans="1:11" x14ac:dyDescent="0.45">
      <c r="A37" s="4">
        <v>44525</v>
      </c>
      <c r="B37" s="4">
        <v>44530</v>
      </c>
      <c r="C37" s="9" t="s">
        <v>163</v>
      </c>
      <c r="D37" s="5" t="s">
        <v>159</v>
      </c>
      <c r="E37" s="5" t="s">
        <v>67</v>
      </c>
      <c r="F37" s="5" t="s">
        <v>298</v>
      </c>
      <c r="G37" s="5"/>
      <c r="H37" s="8">
        <v>7310</v>
      </c>
      <c r="I37" s="8">
        <v>13973</v>
      </c>
      <c r="J37" s="8">
        <v>10214</v>
      </c>
      <c r="K37" s="19">
        <v>214</v>
      </c>
    </row>
    <row r="38" spans="1:11" x14ac:dyDescent="0.45">
      <c r="A38" s="4">
        <v>44165</v>
      </c>
      <c r="B38" s="4">
        <v>44168</v>
      </c>
      <c r="C38" s="9" t="s">
        <v>158</v>
      </c>
      <c r="D38" s="5" t="s">
        <v>159</v>
      </c>
      <c r="E38" s="5" t="s">
        <v>295</v>
      </c>
      <c r="F38" s="5" t="s">
        <v>30</v>
      </c>
      <c r="G38" s="5" t="s">
        <v>160</v>
      </c>
      <c r="H38" s="8">
        <v>3846</v>
      </c>
      <c r="I38" s="8">
        <v>13000</v>
      </c>
      <c r="J38" s="8">
        <v>5000</v>
      </c>
      <c r="K38" s="21">
        <v>0</v>
      </c>
    </row>
    <row r="39" spans="1:11" x14ac:dyDescent="0.45">
      <c r="A39" s="4">
        <v>44201</v>
      </c>
      <c r="B39" s="4">
        <v>44204</v>
      </c>
      <c r="C39" s="9" t="s">
        <v>158</v>
      </c>
      <c r="D39" s="5" t="s">
        <v>159</v>
      </c>
      <c r="E39" s="5" t="s">
        <v>295</v>
      </c>
      <c r="F39" s="5" t="s">
        <v>30</v>
      </c>
      <c r="G39" s="5" t="s">
        <v>160</v>
      </c>
      <c r="H39" s="8">
        <v>7604</v>
      </c>
      <c r="I39" s="8">
        <v>13152</v>
      </c>
      <c r="J39" s="8">
        <v>10000</v>
      </c>
      <c r="K39" s="21">
        <v>0</v>
      </c>
    </row>
    <row r="40" spans="1:11" x14ac:dyDescent="0.45">
      <c r="A40" s="4">
        <v>44236</v>
      </c>
      <c r="B40" s="4">
        <v>44242</v>
      </c>
      <c r="C40" s="9" t="s">
        <v>158</v>
      </c>
      <c r="D40" s="5" t="s">
        <v>159</v>
      </c>
      <c r="E40" s="5" t="s">
        <v>295</v>
      </c>
      <c r="F40" s="5" t="s">
        <v>30</v>
      </c>
      <c r="G40" s="5" t="s">
        <v>160</v>
      </c>
      <c r="H40" s="8">
        <v>7041</v>
      </c>
      <c r="I40" s="8">
        <v>14202</v>
      </c>
      <c r="J40" s="8">
        <v>10000</v>
      </c>
      <c r="K40" s="21">
        <v>0</v>
      </c>
    </row>
    <row r="41" spans="1:11" x14ac:dyDescent="0.45">
      <c r="A41" s="4">
        <v>44257</v>
      </c>
      <c r="B41" s="4">
        <v>44260</v>
      </c>
      <c r="C41" s="9" t="s">
        <v>158</v>
      </c>
      <c r="D41" s="5" t="s">
        <v>159</v>
      </c>
      <c r="E41" s="5" t="s">
        <v>295</v>
      </c>
      <c r="F41" s="5" t="s">
        <v>30</v>
      </c>
      <c r="G41" s="5" t="s">
        <v>160</v>
      </c>
      <c r="H41" s="8">
        <v>6947</v>
      </c>
      <c r="I41" s="8">
        <v>14394</v>
      </c>
      <c r="J41" s="8">
        <v>10000</v>
      </c>
      <c r="K41" s="21">
        <v>0</v>
      </c>
    </row>
    <row r="42" spans="1:11" x14ac:dyDescent="0.45">
      <c r="A42" s="4">
        <v>44295</v>
      </c>
      <c r="B42" s="4">
        <v>44300</v>
      </c>
      <c r="C42" s="9" t="s">
        <v>158</v>
      </c>
      <c r="D42" s="5" t="s">
        <v>159</v>
      </c>
      <c r="E42" s="5" t="s">
        <v>295</v>
      </c>
      <c r="F42" s="5" t="s">
        <v>30</v>
      </c>
      <c r="G42" s="5" t="s">
        <v>160</v>
      </c>
      <c r="H42" s="8">
        <v>6460</v>
      </c>
      <c r="I42" s="8">
        <v>15481</v>
      </c>
      <c r="J42" s="8">
        <v>10000</v>
      </c>
      <c r="K42" s="21">
        <v>0</v>
      </c>
    </row>
    <row r="43" spans="1:11" x14ac:dyDescent="0.45">
      <c r="A43" s="4">
        <v>44327</v>
      </c>
      <c r="B43" s="4">
        <v>44330</v>
      </c>
      <c r="C43" s="9" t="s">
        <v>158</v>
      </c>
      <c r="D43" s="5" t="s">
        <v>159</v>
      </c>
      <c r="E43" s="5" t="s">
        <v>295</v>
      </c>
      <c r="F43" s="5" t="s">
        <v>30</v>
      </c>
      <c r="G43" s="5" t="s">
        <v>160</v>
      </c>
      <c r="H43" s="8">
        <v>3167</v>
      </c>
      <c r="I43" s="8">
        <v>15789</v>
      </c>
      <c r="J43" s="8">
        <v>5000</v>
      </c>
      <c r="K43" s="21">
        <v>0</v>
      </c>
    </row>
    <row r="44" spans="1:11" x14ac:dyDescent="0.45">
      <c r="A44" s="4">
        <v>44350</v>
      </c>
      <c r="B44" s="4">
        <v>44355</v>
      </c>
      <c r="C44" s="9" t="s">
        <v>158</v>
      </c>
      <c r="D44" s="5" t="s">
        <v>159</v>
      </c>
      <c r="E44" s="5" t="s">
        <v>295</v>
      </c>
      <c r="F44" s="5" t="s">
        <v>30</v>
      </c>
      <c r="G44" s="5" t="s">
        <v>160</v>
      </c>
      <c r="H44" s="8">
        <v>6263</v>
      </c>
      <c r="I44" s="8">
        <v>15967</v>
      </c>
      <c r="J44" s="8">
        <v>10000</v>
      </c>
      <c r="K44" s="21">
        <v>0</v>
      </c>
    </row>
    <row r="45" spans="1:11" x14ac:dyDescent="0.45">
      <c r="A45" s="4">
        <v>44377</v>
      </c>
      <c r="B45" s="4">
        <v>44382</v>
      </c>
      <c r="C45" s="9" t="s">
        <v>158</v>
      </c>
      <c r="D45" s="5" t="s">
        <v>159</v>
      </c>
      <c r="E45" s="5" t="s">
        <v>295</v>
      </c>
      <c r="F45" s="5" t="s">
        <v>30</v>
      </c>
      <c r="G45" s="5" t="s">
        <v>160</v>
      </c>
      <c r="H45" s="8">
        <v>6081</v>
      </c>
      <c r="I45" s="8">
        <v>16444</v>
      </c>
      <c r="J45" s="8">
        <v>10000</v>
      </c>
      <c r="K45" s="21">
        <v>0</v>
      </c>
    </row>
    <row r="46" spans="1:11" x14ac:dyDescent="0.45">
      <c r="A46" s="4">
        <v>44921</v>
      </c>
      <c r="B46" s="4">
        <v>44924</v>
      </c>
      <c r="C46" s="9" t="s">
        <v>158</v>
      </c>
      <c r="D46" s="5" t="s">
        <v>159</v>
      </c>
      <c r="E46" s="5" t="s">
        <v>295</v>
      </c>
      <c r="F46" s="5" t="s">
        <v>30</v>
      </c>
      <c r="G46" s="5" t="s">
        <v>160</v>
      </c>
      <c r="H46" s="8">
        <v>24940</v>
      </c>
      <c r="I46" s="8">
        <v>17961</v>
      </c>
      <c r="J46" s="8">
        <v>44794</v>
      </c>
      <c r="K46" s="21">
        <v>0</v>
      </c>
    </row>
    <row r="47" spans="1:11" x14ac:dyDescent="0.45">
      <c r="A47" s="4">
        <v>45243</v>
      </c>
      <c r="B47" s="4">
        <v>45246</v>
      </c>
      <c r="C47" s="9" t="s">
        <v>158</v>
      </c>
      <c r="D47" s="5" t="s">
        <v>159</v>
      </c>
      <c r="E47" s="5" t="s">
        <v>295</v>
      </c>
      <c r="F47" s="5" t="s">
        <v>30</v>
      </c>
      <c r="G47" s="5" t="s">
        <v>160</v>
      </c>
      <c r="H47" s="8">
        <v>590</v>
      </c>
      <c r="I47" s="8">
        <v>23925</v>
      </c>
      <c r="J47" s="8">
        <v>1410</v>
      </c>
      <c r="K47" s="21">
        <v>0</v>
      </c>
    </row>
    <row r="48" spans="1:11" x14ac:dyDescent="0.45">
      <c r="A48" s="4">
        <v>45656</v>
      </c>
      <c r="B48" s="4">
        <v>45663</v>
      </c>
      <c r="C48" s="9" t="s">
        <v>158</v>
      </c>
      <c r="D48" s="5" t="s">
        <v>159</v>
      </c>
      <c r="E48" s="5" t="s">
        <v>295</v>
      </c>
      <c r="F48" s="5" t="s">
        <v>289</v>
      </c>
      <c r="G48" s="5"/>
      <c r="H48" s="21">
        <v>3846</v>
      </c>
      <c r="I48" s="9"/>
      <c r="J48" s="9">
        <v>0</v>
      </c>
      <c r="K48" s="21">
        <v>0</v>
      </c>
    </row>
    <row r="49" spans="1:11" x14ac:dyDescent="0.45">
      <c r="A49" s="4">
        <v>45772</v>
      </c>
      <c r="B49" s="4">
        <v>45778</v>
      </c>
      <c r="C49" s="9" t="s">
        <v>158</v>
      </c>
      <c r="D49" s="5" t="s">
        <v>159</v>
      </c>
      <c r="E49" s="5" t="s">
        <v>295</v>
      </c>
      <c r="F49" s="5" t="s">
        <v>298</v>
      </c>
      <c r="G49" s="5"/>
      <c r="H49" s="21">
        <v>69093</v>
      </c>
      <c r="I49" s="19">
        <v>28502</v>
      </c>
      <c r="J49" s="19">
        <v>196929</v>
      </c>
      <c r="K49" s="21">
        <v>86850</v>
      </c>
    </row>
    <row r="50" spans="1:11" x14ac:dyDescent="0.45">
      <c r="A50" s="4">
        <v>44404</v>
      </c>
      <c r="B50" s="4">
        <v>44407</v>
      </c>
      <c r="C50" s="9" t="s">
        <v>158</v>
      </c>
      <c r="D50" s="5" t="s">
        <v>159</v>
      </c>
      <c r="E50" s="5" t="s">
        <v>67</v>
      </c>
      <c r="F50" s="5" t="s">
        <v>30</v>
      </c>
      <c r="G50" s="5" t="s">
        <v>160</v>
      </c>
      <c r="H50" s="8">
        <v>11832</v>
      </c>
      <c r="I50" s="8">
        <v>16903</v>
      </c>
      <c r="J50" s="8">
        <v>20000</v>
      </c>
      <c r="K50" s="21">
        <v>0</v>
      </c>
    </row>
    <row r="51" spans="1:11" x14ac:dyDescent="0.45">
      <c r="A51" s="4">
        <v>44435</v>
      </c>
      <c r="B51" s="4">
        <v>44440</v>
      </c>
      <c r="C51" s="9" t="s">
        <v>158</v>
      </c>
      <c r="D51" s="5" t="s">
        <v>159</v>
      </c>
      <c r="E51" s="5" t="s">
        <v>67</v>
      </c>
      <c r="F51" s="5" t="s">
        <v>298</v>
      </c>
      <c r="G51" s="5"/>
      <c r="H51" s="8">
        <v>11832</v>
      </c>
      <c r="I51" s="8">
        <v>17067</v>
      </c>
      <c r="J51" s="8">
        <v>20194</v>
      </c>
      <c r="K51" s="19">
        <v>194</v>
      </c>
    </row>
    <row r="52" spans="1:11" x14ac:dyDescent="0.45">
      <c r="A52" s="4">
        <v>45656</v>
      </c>
      <c r="B52" s="4">
        <v>45663</v>
      </c>
      <c r="C52" s="9" t="s">
        <v>158</v>
      </c>
      <c r="D52" s="5" t="s">
        <v>159</v>
      </c>
      <c r="E52" s="5" t="s">
        <v>294</v>
      </c>
      <c r="F52" s="5" t="s">
        <v>296</v>
      </c>
      <c r="G52" s="5"/>
      <c r="H52" s="21">
        <v>3846</v>
      </c>
      <c r="I52" s="9"/>
      <c r="J52" s="9">
        <v>0</v>
      </c>
      <c r="K52" s="21">
        <v>0</v>
      </c>
    </row>
    <row r="53" spans="1:11" x14ac:dyDescent="0.45">
      <c r="A53" s="4">
        <v>45824</v>
      </c>
      <c r="B53" s="4">
        <v>45827</v>
      </c>
      <c r="C53" s="9" t="s">
        <v>158</v>
      </c>
      <c r="D53" s="5" t="s">
        <v>159</v>
      </c>
      <c r="E53" s="5" t="s">
        <v>68</v>
      </c>
      <c r="F53" s="5" t="s">
        <v>298</v>
      </c>
      <c r="G53" s="5"/>
      <c r="H53" s="21">
        <v>3846</v>
      </c>
      <c r="I53" s="19">
        <v>31398</v>
      </c>
      <c r="J53" s="19">
        <v>12076</v>
      </c>
      <c r="K53" s="21">
        <v>-1071</v>
      </c>
    </row>
    <row r="54" spans="1:11" x14ac:dyDescent="0.45">
      <c r="A54" s="4">
        <v>44188</v>
      </c>
      <c r="B54" s="4">
        <v>44193</v>
      </c>
      <c r="C54" s="9" t="s">
        <v>162</v>
      </c>
      <c r="D54" s="5" t="s">
        <v>159</v>
      </c>
      <c r="E54" s="5" t="s">
        <v>295</v>
      </c>
      <c r="F54" s="5" t="s">
        <v>30</v>
      </c>
      <c r="G54" s="5" t="s">
        <v>160</v>
      </c>
      <c r="H54" s="8">
        <v>4490</v>
      </c>
      <c r="I54" s="8">
        <v>22273</v>
      </c>
      <c r="J54" s="8">
        <v>10000</v>
      </c>
      <c r="K54" s="21">
        <v>0</v>
      </c>
    </row>
    <row r="55" spans="1:11" x14ac:dyDescent="0.45">
      <c r="A55" s="4">
        <v>44224</v>
      </c>
      <c r="B55" s="4">
        <v>44229</v>
      </c>
      <c r="C55" s="9" t="s">
        <v>162</v>
      </c>
      <c r="D55" s="5" t="s">
        <v>159</v>
      </c>
      <c r="E55" s="5" t="s">
        <v>295</v>
      </c>
      <c r="F55" s="5" t="s">
        <v>30</v>
      </c>
      <c r="G55" s="5" t="s">
        <v>160</v>
      </c>
      <c r="H55" s="8">
        <v>2108</v>
      </c>
      <c r="I55" s="8">
        <v>23721</v>
      </c>
      <c r="J55" s="8">
        <v>5000</v>
      </c>
      <c r="K55" s="21">
        <v>0</v>
      </c>
    </row>
    <row r="56" spans="1:11" x14ac:dyDescent="0.45">
      <c r="A56" s="4">
        <v>44257</v>
      </c>
      <c r="B56" s="4">
        <v>44260</v>
      </c>
      <c r="C56" s="9" t="s">
        <v>162</v>
      </c>
      <c r="D56" s="5" t="s">
        <v>159</v>
      </c>
      <c r="E56" s="5" t="s">
        <v>295</v>
      </c>
      <c r="F56" s="5" t="s">
        <v>30</v>
      </c>
      <c r="G56" s="5" t="s">
        <v>160</v>
      </c>
      <c r="H56" s="8">
        <v>1938</v>
      </c>
      <c r="I56" s="8">
        <v>25804</v>
      </c>
      <c r="J56" s="8">
        <v>5000</v>
      </c>
      <c r="K56" s="21">
        <v>0</v>
      </c>
    </row>
    <row r="57" spans="1:11" x14ac:dyDescent="0.45">
      <c r="A57" s="4">
        <v>44295</v>
      </c>
      <c r="B57" s="4">
        <v>44300</v>
      </c>
      <c r="C57" s="9" t="s">
        <v>162</v>
      </c>
      <c r="D57" s="5" t="s">
        <v>159</v>
      </c>
      <c r="E57" s="5" t="s">
        <v>295</v>
      </c>
      <c r="F57" s="5" t="s">
        <v>30</v>
      </c>
      <c r="G57" s="5" t="s">
        <v>160</v>
      </c>
      <c r="H57" s="8">
        <v>1920</v>
      </c>
      <c r="I57" s="8">
        <v>26043</v>
      </c>
      <c r="J57" s="8">
        <v>5000</v>
      </c>
      <c r="K57" s="21">
        <v>0</v>
      </c>
    </row>
    <row r="58" spans="1:11" x14ac:dyDescent="0.45">
      <c r="A58" s="4">
        <v>44327</v>
      </c>
      <c r="B58" s="4">
        <v>44330</v>
      </c>
      <c r="C58" s="9" t="s">
        <v>162</v>
      </c>
      <c r="D58" s="5" t="s">
        <v>159</v>
      </c>
      <c r="E58" s="5" t="s">
        <v>295</v>
      </c>
      <c r="F58" s="5" t="s">
        <v>30</v>
      </c>
      <c r="G58" s="5" t="s">
        <v>160</v>
      </c>
      <c r="H58" s="8">
        <v>4166</v>
      </c>
      <c r="I58" s="8">
        <v>24007</v>
      </c>
      <c r="J58" s="8">
        <v>10000</v>
      </c>
      <c r="K58" s="21">
        <v>0</v>
      </c>
    </row>
    <row r="59" spans="1:11" x14ac:dyDescent="0.45">
      <c r="A59" s="4">
        <v>44350</v>
      </c>
      <c r="B59" s="4">
        <v>44355</v>
      </c>
      <c r="C59" s="9" t="s">
        <v>162</v>
      </c>
      <c r="D59" s="5" t="s">
        <v>159</v>
      </c>
      <c r="E59" s="5" t="s">
        <v>295</v>
      </c>
      <c r="F59" s="5" t="s">
        <v>30</v>
      </c>
      <c r="G59" s="5" t="s">
        <v>160</v>
      </c>
      <c r="H59" s="8">
        <v>1983</v>
      </c>
      <c r="I59" s="8">
        <v>25216</v>
      </c>
      <c r="J59" s="8">
        <v>5000</v>
      </c>
      <c r="K59" s="21">
        <v>0</v>
      </c>
    </row>
    <row r="60" spans="1:11" x14ac:dyDescent="0.45">
      <c r="A60" s="4">
        <v>44362</v>
      </c>
      <c r="B60" s="4">
        <v>44365</v>
      </c>
      <c r="C60" s="9" t="s">
        <v>162</v>
      </c>
      <c r="D60" s="5" t="s">
        <v>159</v>
      </c>
      <c r="E60" s="5" t="s">
        <v>295</v>
      </c>
      <c r="F60" s="5" t="s">
        <v>298</v>
      </c>
      <c r="G60" s="5"/>
      <c r="H60" s="8">
        <v>16605</v>
      </c>
      <c r="I60" s="8">
        <v>26019</v>
      </c>
      <c r="J60" s="8">
        <v>43205</v>
      </c>
      <c r="K60" s="19">
        <v>3205</v>
      </c>
    </row>
    <row r="61" spans="1:11" x14ac:dyDescent="0.45">
      <c r="A61" s="4">
        <v>44187</v>
      </c>
      <c r="B61" s="4">
        <v>44190</v>
      </c>
      <c r="C61" s="9" t="s">
        <v>161</v>
      </c>
      <c r="D61" s="5" t="s">
        <v>159</v>
      </c>
      <c r="E61" s="5" t="s">
        <v>295</v>
      </c>
      <c r="F61" s="5" t="s">
        <v>30</v>
      </c>
      <c r="G61" s="5" t="s">
        <v>160</v>
      </c>
      <c r="H61" s="8">
        <v>6447</v>
      </c>
      <c r="I61" s="8">
        <v>15511</v>
      </c>
      <c r="J61" s="8">
        <v>10000</v>
      </c>
      <c r="K61" s="19">
        <v>0</v>
      </c>
    </row>
    <row r="62" spans="1:11" x14ac:dyDescent="0.45">
      <c r="A62" s="4">
        <v>44224</v>
      </c>
      <c r="B62" s="4">
        <v>44229</v>
      </c>
      <c r="C62" s="9" t="s">
        <v>161</v>
      </c>
      <c r="D62" s="5" t="s">
        <v>159</v>
      </c>
      <c r="E62" s="5" t="s">
        <v>295</v>
      </c>
      <c r="F62" s="5" t="s">
        <v>30</v>
      </c>
      <c r="G62" s="5" t="s">
        <v>160</v>
      </c>
      <c r="H62" s="8">
        <v>3093</v>
      </c>
      <c r="I62" s="8">
        <v>16167</v>
      </c>
      <c r="J62" s="8">
        <v>5000</v>
      </c>
      <c r="K62" s="19">
        <v>0</v>
      </c>
    </row>
    <row r="63" spans="1:11" x14ac:dyDescent="0.45">
      <c r="A63" s="4">
        <v>44257</v>
      </c>
      <c r="B63" s="4">
        <v>44260</v>
      </c>
      <c r="C63" s="9" t="s">
        <v>161</v>
      </c>
      <c r="D63" s="5" t="s">
        <v>159</v>
      </c>
      <c r="E63" s="5" t="s">
        <v>295</v>
      </c>
      <c r="F63" s="5" t="s">
        <v>30</v>
      </c>
      <c r="G63" s="5" t="s">
        <v>160</v>
      </c>
      <c r="H63" s="8">
        <v>2978</v>
      </c>
      <c r="I63" s="8">
        <v>16792</v>
      </c>
      <c r="J63" s="8">
        <v>5000</v>
      </c>
      <c r="K63" s="19">
        <v>0</v>
      </c>
    </row>
    <row r="64" spans="1:11" x14ac:dyDescent="0.45">
      <c r="A64" s="4">
        <v>44295</v>
      </c>
      <c r="B64" s="4">
        <v>44300</v>
      </c>
      <c r="C64" s="9" t="s">
        <v>161</v>
      </c>
      <c r="D64" s="5" t="s">
        <v>159</v>
      </c>
      <c r="E64" s="5" t="s">
        <v>295</v>
      </c>
      <c r="F64" s="5" t="s">
        <v>30</v>
      </c>
      <c r="G64" s="5" t="s">
        <v>160</v>
      </c>
      <c r="H64" s="8">
        <v>2810</v>
      </c>
      <c r="I64" s="8">
        <v>17792</v>
      </c>
      <c r="J64" s="8">
        <v>5000</v>
      </c>
      <c r="K64" s="19">
        <v>0</v>
      </c>
    </row>
    <row r="65" spans="1:11" x14ac:dyDescent="0.45">
      <c r="A65" s="4">
        <v>44327</v>
      </c>
      <c r="B65" s="4">
        <v>44330</v>
      </c>
      <c r="C65" s="9" t="s">
        <v>161</v>
      </c>
      <c r="D65" s="5" t="s">
        <v>159</v>
      </c>
      <c r="E65" s="5" t="s">
        <v>295</v>
      </c>
      <c r="F65" s="5" t="s">
        <v>30</v>
      </c>
      <c r="G65" s="5" t="s">
        <v>160</v>
      </c>
      <c r="H65" s="8">
        <v>2903</v>
      </c>
      <c r="I65" s="8">
        <v>17225</v>
      </c>
      <c r="J65" s="8">
        <v>5000</v>
      </c>
      <c r="K65" s="19">
        <v>0</v>
      </c>
    </row>
    <row r="66" spans="1:11" x14ac:dyDescent="0.45">
      <c r="A66" s="4">
        <v>44350</v>
      </c>
      <c r="B66" s="4">
        <v>44355</v>
      </c>
      <c r="C66" s="9" t="s">
        <v>161</v>
      </c>
      <c r="D66" s="5" t="s">
        <v>159</v>
      </c>
      <c r="E66" s="5" t="s">
        <v>295</v>
      </c>
      <c r="F66" s="5" t="s">
        <v>30</v>
      </c>
      <c r="G66" s="5" t="s">
        <v>160</v>
      </c>
      <c r="H66" s="8">
        <v>2819</v>
      </c>
      <c r="I66" s="8">
        <v>17736</v>
      </c>
      <c r="J66" s="8">
        <v>5000</v>
      </c>
      <c r="K66" s="19">
        <v>0</v>
      </c>
    </row>
    <row r="67" spans="1:11" x14ac:dyDescent="0.45">
      <c r="A67" s="4">
        <v>44362</v>
      </c>
      <c r="B67" s="4">
        <v>44365</v>
      </c>
      <c r="C67" s="9" t="s">
        <v>161</v>
      </c>
      <c r="D67" s="5" t="s">
        <v>159</v>
      </c>
      <c r="E67" s="5" t="s">
        <v>295</v>
      </c>
      <c r="F67" s="5" t="s">
        <v>298</v>
      </c>
      <c r="G67" s="5"/>
      <c r="H67" s="8">
        <v>21050</v>
      </c>
      <c r="I67" s="8">
        <v>18410</v>
      </c>
      <c r="J67" s="8">
        <v>38753</v>
      </c>
      <c r="K67" s="19">
        <v>3753</v>
      </c>
    </row>
    <row r="68" spans="1:11" x14ac:dyDescent="0.45">
      <c r="A68" s="4">
        <v>45243</v>
      </c>
      <c r="B68" s="4">
        <v>45247</v>
      </c>
      <c r="C68" s="9" t="s">
        <v>230</v>
      </c>
      <c r="D68" s="5" t="s">
        <v>159</v>
      </c>
      <c r="E68" s="5" t="s">
        <v>67</v>
      </c>
      <c r="F68" s="5" t="s">
        <v>30</v>
      </c>
      <c r="G68" s="5" t="s">
        <v>160</v>
      </c>
      <c r="H68" s="19">
        <v>180143</v>
      </c>
      <c r="I68" s="19">
        <v>12456</v>
      </c>
      <c r="J68" s="8">
        <v>224386</v>
      </c>
      <c r="K68" s="21">
        <v>0</v>
      </c>
    </row>
    <row r="69" spans="1:11" x14ac:dyDescent="0.45">
      <c r="A69" s="4">
        <v>45664</v>
      </c>
      <c r="B69" s="4">
        <v>45671</v>
      </c>
      <c r="C69" s="9" t="s">
        <v>230</v>
      </c>
      <c r="D69" s="5" t="s">
        <v>159</v>
      </c>
      <c r="E69" s="5" t="s">
        <v>67</v>
      </c>
      <c r="F69" s="5" t="s">
        <v>298</v>
      </c>
      <c r="G69" s="5"/>
      <c r="H69" s="21">
        <v>180143</v>
      </c>
      <c r="I69" s="21">
        <v>15148</v>
      </c>
      <c r="J69" s="21">
        <v>272881</v>
      </c>
      <c r="K69" s="19">
        <v>48494</v>
      </c>
    </row>
  </sheetData>
  <autoFilter ref="A1:K59" xr:uid="{00000000-0009-0000-0000-000007000000}">
    <sortState xmlns:xlrd2="http://schemas.microsoft.com/office/spreadsheetml/2017/richdata2" ref="A2:K69">
      <sortCondition ref="C1:C59"/>
    </sortState>
  </autoFilter>
  <phoneticPr fontId="18"/>
  <pageMargins left="0.7" right="0.7" top="0.75" bottom="0.75" header="0.3" footer="0.3"/>
  <pageSetup paperSize="9" scale="46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T58"/>
  <sheetViews>
    <sheetView zoomScale="70" zoomScaleNormal="70" workbookViewId="0">
      <pane xSplit="4" ySplit="1" topLeftCell="N45" activePane="bottomRight" state="frozen"/>
      <selection pane="topRight" activeCell="E1" sqref="E1"/>
      <selection pane="bottomLeft" activeCell="A2" sqref="A2"/>
      <selection pane="bottomRight" activeCell="S54" sqref="S54"/>
    </sheetView>
  </sheetViews>
  <sheetFormatPr defaultRowHeight="18" x14ac:dyDescent="0.45"/>
  <cols>
    <col min="1" max="2" width="12.5" style="1" bestFit="1" customWidth="1"/>
    <col min="3" max="3" width="16.296875" style="2" bestFit="1" customWidth="1"/>
    <col min="4" max="4" width="22.59765625" bestFit="1" customWidth="1"/>
    <col min="5" max="5" width="13.5" style="2" bestFit="1" customWidth="1"/>
    <col min="6" max="8" width="14.5" style="2" bestFit="1" customWidth="1"/>
    <col min="9" max="9" width="16.296875" bestFit="1" customWidth="1"/>
    <col min="10" max="10" width="18.796875" bestFit="1" customWidth="1"/>
    <col min="11" max="11" width="23.09765625" bestFit="1" customWidth="1"/>
    <col min="12" max="12" width="16.296875" bestFit="1" customWidth="1"/>
    <col min="13" max="13" width="20.69921875" bestFit="1" customWidth="1"/>
    <col min="14" max="14" width="18.796875" bestFit="1" customWidth="1"/>
    <col min="15" max="15" width="23.09765625" bestFit="1" customWidth="1"/>
    <col min="16" max="17" width="20.5" bestFit="1" customWidth="1"/>
    <col min="18" max="18" width="18.09765625" bestFit="1" customWidth="1"/>
    <col min="19" max="19" width="25.09765625" bestFit="1" customWidth="1"/>
  </cols>
  <sheetData>
    <row r="1" spans="1:20" x14ac:dyDescent="0.45">
      <c r="A1" s="16" t="s">
        <v>0</v>
      </c>
      <c r="B1" s="16" t="s">
        <v>1</v>
      </c>
      <c r="C1" s="16" t="s">
        <v>132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133</v>
      </c>
      <c r="I1" s="16" t="s">
        <v>9</v>
      </c>
      <c r="J1" s="16" t="s">
        <v>147</v>
      </c>
      <c r="K1" s="16" t="s">
        <v>148</v>
      </c>
      <c r="L1" s="16" t="s">
        <v>134</v>
      </c>
      <c r="M1" s="16" t="s">
        <v>150</v>
      </c>
      <c r="N1" s="16" t="s">
        <v>149</v>
      </c>
      <c r="O1" s="16" t="s">
        <v>151</v>
      </c>
      <c r="P1" s="16" t="s">
        <v>15</v>
      </c>
      <c r="Q1" s="13" t="s">
        <v>171</v>
      </c>
      <c r="R1" s="13" t="s">
        <v>165</v>
      </c>
      <c r="S1" s="50" t="s">
        <v>413</v>
      </c>
      <c r="T1" s="41">
        <f>SUM(S2:S100)</f>
        <v>1021052.5936133333</v>
      </c>
    </row>
    <row r="2" spans="1:20" x14ac:dyDescent="0.45">
      <c r="A2" s="4">
        <v>44866</v>
      </c>
      <c r="B2" s="4">
        <v>44869</v>
      </c>
      <c r="C2" s="5" t="s">
        <v>138</v>
      </c>
      <c r="D2" s="9" t="s">
        <v>139</v>
      </c>
      <c r="E2" s="5" t="s">
        <v>67</v>
      </c>
      <c r="F2" s="5" t="s">
        <v>29</v>
      </c>
      <c r="G2" s="5" t="s">
        <v>30</v>
      </c>
      <c r="H2" s="5" t="s">
        <v>146</v>
      </c>
      <c r="I2" s="9">
        <v>15</v>
      </c>
      <c r="J2" s="12">
        <v>145.75</v>
      </c>
      <c r="K2" s="7">
        <v>2186.25</v>
      </c>
      <c r="L2" s="9">
        <v>148.93</v>
      </c>
      <c r="M2" s="9">
        <v>9.83</v>
      </c>
      <c r="N2" s="9">
        <v>0.98</v>
      </c>
      <c r="O2" s="22">
        <v>2197.06</v>
      </c>
      <c r="P2" s="6" t="s">
        <v>31</v>
      </c>
      <c r="Q2" s="9">
        <v>0</v>
      </c>
      <c r="R2" s="9">
        <v>0</v>
      </c>
      <c r="S2" s="19">
        <f>IF(H2="USD",Q2*L2,R2)</f>
        <v>0</v>
      </c>
    </row>
    <row r="3" spans="1:20" x14ac:dyDescent="0.45">
      <c r="A3" s="4">
        <v>45281</v>
      </c>
      <c r="B3" s="4">
        <v>45285</v>
      </c>
      <c r="C3" s="5" t="s">
        <v>53</v>
      </c>
      <c r="D3" s="9" t="s">
        <v>54</v>
      </c>
      <c r="E3" s="5" t="s">
        <v>67</v>
      </c>
      <c r="F3" s="5" t="s">
        <v>29</v>
      </c>
      <c r="G3" s="5" t="s">
        <v>41</v>
      </c>
      <c r="H3" s="5" t="s">
        <v>146</v>
      </c>
      <c r="I3" s="9">
        <v>35</v>
      </c>
      <c r="J3" s="12">
        <v>39.1</v>
      </c>
      <c r="K3" s="7">
        <v>1368.5</v>
      </c>
      <c r="L3" s="9">
        <v>143.06</v>
      </c>
      <c r="M3" s="9">
        <v>6.17</v>
      </c>
      <c r="N3" s="9">
        <v>0.61</v>
      </c>
      <c r="O3" s="9">
        <v>1361.72</v>
      </c>
      <c r="P3" s="6" t="s">
        <v>177</v>
      </c>
      <c r="Q3" s="25">
        <v>1.05</v>
      </c>
      <c r="R3" s="9">
        <v>0</v>
      </c>
      <c r="S3" s="19">
        <f t="shared" ref="S3:S58" si="0">IF(H3="USD",Q3*L3,R3)</f>
        <v>150.21300000000002</v>
      </c>
    </row>
    <row r="4" spans="1:20" x14ac:dyDescent="0.45">
      <c r="A4" s="4">
        <v>45265</v>
      </c>
      <c r="B4" s="4">
        <v>45267</v>
      </c>
      <c r="C4" s="5" t="s">
        <v>57</v>
      </c>
      <c r="D4" s="9" t="s">
        <v>58</v>
      </c>
      <c r="E4" s="5" t="s">
        <v>67</v>
      </c>
      <c r="F4" s="5" t="s">
        <v>29</v>
      </c>
      <c r="G4" s="5" t="s">
        <v>41</v>
      </c>
      <c r="H4" s="5" t="s">
        <v>146</v>
      </c>
      <c r="I4" s="9">
        <v>9</v>
      </c>
      <c r="J4" s="12">
        <v>102.73</v>
      </c>
      <c r="K4" s="7">
        <v>924.57</v>
      </c>
      <c r="L4" s="9">
        <v>146.82</v>
      </c>
      <c r="M4" s="9">
        <v>4.17</v>
      </c>
      <c r="N4" s="9">
        <v>0.41</v>
      </c>
      <c r="O4" s="9">
        <v>919.99</v>
      </c>
      <c r="P4" s="39" t="s">
        <v>177</v>
      </c>
      <c r="Q4" s="25">
        <v>-80.45</v>
      </c>
      <c r="R4" s="9">
        <v>0</v>
      </c>
      <c r="S4" s="19">
        <f t="shared" si="0"/>
        <v>-11811.669</v>
      </c>
    </row>
    <row r="5" spans="1:20" x14ac:dyDescent="0.45">
      <c r="A5" s="4">
        <v>44924</v>
      </c>
      <c r="B5" s="4">
        <v>44930</v>
      </c>
      <c r="C5" s="5" t="s">
        <v>144</v>
      </c>
      <c r="D5" s="9" t="s">
        <v>145</v>
      </c>
      <c r="E5" s="5" t="s">
        <v>67</v>
      </c>
      <c r="F5" s="5" t="s">
        <v>29</v>
      </c>
      <c r="G5" s="5" t="s">
        <v>30</v>
      </c>
      <c r="H5" s="5" t="s">
        <v>146</v>
      </c>
      <c r="I5" s="9">
        <v>3</v>
      </c>
      <c r="J5" s="12">
        <v>32.380000000000003</v>
      </c>
      <c r="K5" s="7">
        <v>97.14</v>
      </c>
      <c r="L5" s="9">
        <v>134.31</v>
      </c>
      <c r="M5" s="9" t="s">
        <v>31</v>
      </c>
      <c r="N5" s="9" t="s">
        <v>31</v>
      </c>
      <c r="O5" s="23">
        <v>97.14</v>
      </c>
      <c r="P5" s="6" t="s">
        <v>31</v>
      </c>
      <c r="Q5" s="9">
        <v>0</v>
      </c>
      <c r="R5" s="9">
        <v>0</v>
      </c>
      <c r="S5" s="19">
        <f t="shared" si="0"/>
        <v>0</v>
      </c>
    </row>
    <row r="6" spans="1:20" x14ac:dyDescent="0.45">
      <c r="A6" s="4">
        <v>44866</v>
      </c>
      <c r="B6" s="4">
        <v>44869</v>
      </c>
      <c r="C6" s="5" t="s">
        <v>142</v>
      </c>
      <c r="D6" s="9" t="s">
        <v>143</v>
      </c>
      <c r="E6" s="5" t="s">
        <v>67</v>
      </c>
      <c r="F6" s="5" t="s">
        <v>29</v>
      </c>
      <c r="G6" s="5" t="s">
        <v>30</v>
      </c>
      <c r="H6" s="5" t="s">
        <v>146</v>
      </c>
      <c r="I6" s="9">
        <v>30</v>
      </c>
      <c r="J6" s="12">
        <v>26.83</v>
      </c>
      <c r="K6" s="7">
        <v>804.9</v>
      </c>
      <c r="L6" s="9">
        <v>148.93</v>
      </c>
      <c r="M6" s="9">
        <v>3.62</v>
      </c>
      <c r="N6" s="9">
        <v>0.36</v>
      </c>
      <c r="O6" s="23">
        <v>808.88</v>
      </c>
      <c r="P6" s="6" t="s">
        <v>31</v>
      </c>
      <c r="Q6" s="9">
        <v>0</v>
      </c>
      <c r="R6" s="9">
        <v>0</v>
      </c>
      <c r="S6" s="19">
        <f t="shared" si="0"/>
        <v>0</v>
      </c>
    </row>
    <row r="7" spans="1:20" x14ac:dyDescent="0.45">
      <c r="A7" s="4">
        <v>44558</v>
      </c>
      <c r="B7" s="4">
        <v>44560</v>
      </c>
      <c r="C7" s="5" t="s">
        <v>59</v>
      </c>
      <c r="D7" s="9" t="s">
        <v>60</v>
      </c>
      <c r="E7" s="5" t="s">
        <v>415</v>
      </c>
      <c r="F7" s="5" t="s">
        <v>29</v>
      </c>
      <c r="G7" s="5" t="s">
        <v>30</v>
      </c>
      <c r="H7" s="5" t="s">
        <v>135</v>
      </c>
      <c r="I7" s="9">
        <v>10</v>
      </c>
      <c r="J7" s="12">
        <v>169.364</v>
      </c>
      <c r="K7" s="7">
        <v>1693.64</v>
      </c>
      <c r="L7" s="9">
        <v>115.16</v>
      </c>
      <c r="M7" s="9">
        <v>7.62</v>
      </c>
      <c r="N7" s="9">
        <v>0.76</v>
      </c>
      <c r="O7" s="6" t="s">
        <v>31</v>
      </c>
      <c r="P7" s="24">
        <v>196003</v>
      </c>
      <c r="Q7" s="9">
        <v>0</v>
      </c>
      <c r="R7" s="19">
        <v>0</v>
      </c>
      <c r="S7" s="19">
        <f t="shared" si="0"/>
        <v>0</v>
      </c>
    </row>
    <row r="8" spans="1:20" x14ac:dyDescent="0.45">
      <c r="A8" s="4">
        <v>44866</v>
      </c>
      <c r="B8" s="4">
        <v>44869</v>
      </c>
      <c r="C8" s="5" t="s">
        <v>140</v>
      </c>
      <c r="D8" s="9" t="s">
        <v>141</v>
      </c>
      <c r="E8" s="5" t="s">
        <v>67</v>
      </c>
      <c r="F8" s="5" t="s">
        <v>29</v>
      </c>
      <c r="G8" s="5" t="s">
        <v>30</v>
      </c>
      <c r="H8" s="5" t="s">
        <v>146</v>
      </c>
      <c r="I8" s="9">
        <v>12</v>
      </c>
      <c r="J8" s="12">
        <v>126.3</v>
      </c>
      <c r="K8" s="7">
        <v>1515.6</v>
      </c>
      <c r="L8" s="9">
        <v>148.93</v>
      </c>
      <c r="M8" s="9">
        <v>6.82</v>
      </c>
      <c r="N8" s="9">
        <v>0.68</v>
      </c>
      <c r="O8" s="22">
        <v>1523.1</v>
      </c>
      <c r="P8" s="6" t="s">
        <v>31</v>
      </c>
      <c r="Q8" s="9">
        <v>0</v>
      </c>
      <c r="R8" s="9">
        <v>0</v>
      </c>
      <c r="S8" s="19">
        <f t="shared" si="0"/>
        <v>0</v>
      </c>
    </row>
    <row r="9" spans="1:20" x14ac:dyDescent="0.45">
      <c r="A9" s="4">
        <v>44866</v>
      </c>
      <c r="B9" s="4">
        <v>44869</v>
      </c>
      <c r="C9" s="5" t="s">
        <v>140</v>
      </c>
      <c r="D9" s="9" t="s">
        <v>141</v>
      </c>
      <c r="E9" s="5" t="s">
        <v>67</v>
      </c>
      <c r="F9" s="5" t="s">
        <v>29</v>
      </c>
      <c r="G9" s="5" t="s">
        <v>30</v>
      </c>
      <c r="H9" s="5" t="s">
        <v>146</v>
      </c>
      <c r="I9" s="9">
        <v>8</v>
      </c>
      <c r="J9" s="12">
        <v>126.3</v>
      </c>
      <c r="K9" s="7">
        <v>1010.4</v>
      </c>
      <c r="L9" s="9">
        <v>148.93</v>
      </c>
      <c r="M9" s="9">
        <v>4.54</v>
      </c>
      <c r="N9" s="9">
        <v>0.45</v>
      </c>
      <c r="O9" s="22">
        <v>1015.39</v>
      </c>
      <c r="P9" s="6" t="s">
        <v>31</v>
      </c>
      <c r="Q9" s="9">
        <v>0</v>
      </c>
      <c r="R9" s="9">
        <v>0</v>
      </c>
      <c r="S9" s="19">
        <f t="shared" si="0"/>
        <v>0</v>
      </c>
    </row>
    <row r="10" spans="1:20" x14ac:dyDescent="0.45">
      <c r="A10" s="4">
        <v>44208</v>
      </c>
      <c r="B10" s="4">
        <v>44210</v>
      </c>
      <c r="C10" s="5" t="s">
        <v>55</v>
      </c>
      <c r="D10" s="9" t="s">
        <v>56</v>
      </c>
      <c r="E10" s="5" t="s">
        <v>28</v>
      </c>
      <c r="F10" s="5" t="s">
        <v>29</v>
      </c>
      <c r="G10" s="5" t="s">
        <v>30</v>
      </c>
      <c r="H10" s="5" t="s">
        <v>135</v>
      </c>
      <c r="I10" s="9">
        <v>10</v>
      </c>
      <c r="J10" s="12">
        <v>50.62</v>
      </c>
      <c r="K10" s="7">
        <v>506.2</v>
      </c>
      <c r="L10" s="9">
        <v>104.48</v>
      </c>
      <c r="M10" s="9">
        <v>2.27</v>
      </c>
      <c r="N10" s="9">
        <v>0.22</v>
      </c>
      <c r="O10" s="6" t="s">
        <v>31</v>
      </c>
      <c r="P10" s="24">
        <v>53147</v>
      </c>
      <c r="Q10" s="9">
        <v>0</v>
      </c>
      <c r="R10" s="19">
        <v>0</v>
      </c>
      <c r="S10" s="19">
        <f t="shared" si="0"/>
        <v>0</v>
      </c>
    </row>
    <row r="11" spans="1:20" x14ac:dyDescent="0.45">
      <c r="A11" s="4">
        <v>44216</v>
      </c>
      <c r="B11" s="4">
        <v>44218</v>
      </c>
      <c r="C11" s="5" t="s">
        <v>55</v>
      </c>
      <c r="D11" s="9" t="s">
        <v>56</v>
      </c>
      <c r="E11" s="5" t="s">
        <v>28</v>
      </c>
      <c r="F11" s="5" t="s">
        <v>29</v>
      </c>
      <c r="G11" s="5" t="s">
        <v>30</v>
      </c>
      <c r="H11" s="5" t="s">
        <v>135</v>
      </c>
      <c r="I11" s="9">
        <v>5</v>
      </c>
      <c r="J11" s="12">
        <v>48.55</v>
      </c>
      <c r="K11" s="7">
        <v>242.75</v>
      </c>
      <c r="L11" s="9">
        <v>104.12</v>
      </c>
      <c r="M11" s="9">
        <v>1.0900000000000001</v>
      </c>
      <c r="N11" s="9">
        <v>0.1</v>
      </c>
      <c r="O11" s="6" t="s">
        <v>31</v>
      </c>
      <c r="P11" s="24">
        <v>25399</v>
      </c>
      <c r="Q11" s="9">
        <v>0</v>
      </c>
      <c r="R11" s="19">
        <v>0</v>
      </c>
      <c r="S11" s="19">
        <f t="shared" si="0"/>
        <v>0</v>
      </c>
    </row>
    <row r="12" spans="1:20" x14ac:dyDescent="0.45">
      <c r="A12" s="4">
        <v>44866</v>
      </c>
      <c r="B12" s="4">
        <v>44869</v>
      </c>
      <c r="C12" s="5" t="s">
        <v>65</v>
      </c>
      <c r="D12" s="9" t="s">
        <v>66</v>
      </c>
      <c r="E12" s="5" t="s">
        <v>67</v>
      </c>
      <c r="F12" s="5" t="s">
        <v>29</v>
      </c>
      <c r="G12" s="5" t="s">
        <v>30</v>
      </c>
      <c r="H12" s="5" t="s">
        <v>146</v>
      </c>
      <c r="I12" s="9">
        <v>10</v>
      </c>
      <c r="J12" s="12">
        <v>125.7</v>
      </c>
      <c r="K12" s="7">
        <v>1257</v>
      </c>
      <c r="L12" s="9">
        <v>148.93</v>
      </c>
      <c r="M12" s="9">
        <v>5.65</v>
      </c>
      <c r="N12" s="9">
        <v>0.56000000000000005</v>
      </c>
      <c r="O12" s="22">
        <v>1263.21</v>
      </c>
      <c r="P12" s="6" t="s">
        <v>31</v>
      </c>
      <c r="Q12" s="9">
        <v>0</v>
      </c>
      <c r="R12" s="9">
        <v>0</v>
      </c>
      <c r="S12" s="19">
        <f t="shared" si="0"/>
        <v>0</v>
      </c>
    </row>
    <row r="13" spans="1:20" x14ac:dyDescent="0.45">
      <c r="A13" s="4">
        <v>44565</v>
      </c>
      <c r="B13" s="4">
        <v>44567</v>
      </c>
      <c r="C13" s="5" t="s">
        <v>53</v>
      </c>
      <c r="D13" s="9" t="s">
        <v>54</v>
      </c>
      <c r="E13" s="5" t="s">
        <v>28</v>
      </c>
      <c r="F13" s="5" t="s">
        <v>29</v>
      </c>
      <c r="G13" s="5" t="s">
        <v>30</v>
      </c>
      <c r="H13" s="5" t="s">
        <v>135</v>
      </c>
      <c r="I13" s="9">
        <v>1</v>
      </c>
      <c r="J13" s="12">
        <v>42.085000000000001</v>
      </c>
      <c r="K13" s="7">
        <v>42.09</v>
      </c>
      <c r="L13" s="9">
        <v>115.63</v>
      </c>
      <c r="M13" s="9">
        <v>0.18</v>
      </c>
      <c r="N13" s="9">
        <v>0.01</v>
      </c>
      <c r="O13" s="6" t="s">
        <v>31</v>
      </c>
      <c r="P13" s="24">
        <v>4888</v>
      </c>
      <c r="Q13" s="9">
        <v>0</v>
      </c>
      <c r="R13" s="19">
        <v>0</v>
      </c>
      <c r="S13" s="19">
        <f t="shared" si="0"/>
        <v>0</v>
      </c>
    </row>
    <row r="14" spans="1:20" x14ac:dyDescent="0.45">
      <c r="A14" s="4">
        <v>44866</v>
      </c>
      <c r="B14" s="4">
        <v>44869</v>
      </c>
      <c r="C14" s="5" t="s">
        <v>53</v>
      </c>
      <c r="D14" s="9" t="s">
        <v>54</v>
      </c>
      <c r="E14" s="5" t="s">
        <v>67</v>
      </c>
      <c r="F14" s="5" t="s">
        <v>29</v>
      </c>
      <c r="G14" s="5" t="s">
        <v>30</v>
      </c>
      <c r="H14" s="5" t="s">
        <v>146</v>
      </c>
      <c r="I14" s="9">
        <v>35</v>
      </c>
      <c r="J14" s="12">
        <v>39.07</v>
      </c>
      <c r="K14" s="7">
        <v>1367.45</v>
      </c>
      <c r="L14" s="9">
        <v>148.93</v>
      </c>
      <c r="M14" s="9" t="s">
        <v>31</v>
      </c>
      <c r="N14" s="9" t="s">
        <v>31</v>
      </c>
      <c r="O14" s="22">
        <v>1367.45</v>
      </c>
      <c r="P14" s="6" t="s">
        <v>31</v>
      </c>
      <c r="Q14" s="9">
        <v>0</v>
      </c>
      <c r="R14" s="9">
        <v>0</v>
      </c>
      <c r="S14" s="19">
        <f t="shared" si="0"/>
        <v>0</v>
      </c>
    </row>
    <row r="15" spans="1:20" x14ac:dyDescent="0.45">
      <c r="A15" s="4">
        <v>45148</v>
      </c>
      <c r="B15" s="4">
        <v>45153</v>
      </c>
      <c r="C15" s="5" t="s">
        <v>142</v>
      </c>
      <c r="D15" s="9" t="s">
        <v>143</v>
      </c>
      <c r="E15" s="5" t="s">
        <v>67</v>
      </c>
      <c r="F15" s="5" t="s">
        <v>29</v>
      </c>
      <c r="G15" s="5" t="s">
        <v>41</v>
      </c>
      <c r="H15" s="5" t="s">
        <v>146</v>
      </c>
      <c r="I15" s="9">
        <v>30</v>
      </c>
      <c r="J15" s="12">
        <v>28.52</v>
      </c>
      <c r="K15" s="7">
        <v>855.6</v>
      </c>
      <c r="L15" s="9">
        <v>143.57</v>
      </c>
      <c r="M15" s="9">
        <v>3.86</v>
      </c>
      <c r="N15" s="9">
        <v>0.38</v>
      </c>
      <c r="O15" s="9">
        <v>851.36</v>
      </c>
      <c r="P15" s="6" t="s">
        <v>177</v>
      </c>
      <c r="Q15" s="25">
        <v>46.72</v>
      </c>
      <c r="R15" s="9">
        <v>0</v>
      </c>
      <c r="S15" s="19">
        <f t="shared" si="0"/>
        <v>6707.5903999999991</v>
      </c>
    </row>
    <row r="16" spans="1:20" x14ac:dyDescent="0.45">
      <c r="A16" s="4">
        <v>44866</v>
      </c>
      <c r="B16" s="4">
        <v>44869</v>
      </c>
      <c r="C16" s="5" t="s">
        <v>136</v>
      </c>
      <c r="D16" s="9" t="s">
        <v>137</v>
      </c>
      <c r="E16" s="5" t="s">
        <v>67</v>
      </c>
      <c r="F16" s="5" t="s">
        <v>29</v>
      </c>
      <c r="G16" s="5" t="s">
        <v>30</v>
      </c>
      <c r="H16" s="5" t="s">
        <v>146</v>
      </c>
      <c r="I16" s="9">
        <v>10</v>
      </c>
      <c r="J16" s="12">
        <v>193.9</v>
      </c>
      <c r="K16" s="7">
        <v>1939</v>
      </c>
      <c r="L16" s="9">
        <v>148.93</v>
      </c>
      <c r="M16" s="9" t="s">
        <v>31</v>
      </c>
      <c r="N16" s="9" t="s">
        <v>31</v>
      </c>
      <c r="O16" s="22">
        <v>1939</v>
      </c>
      <c r="P16" s="6" t="s">
        <v>31</v>
      </c>
      <c r="Q16" s="9">
        <v>0</v>
      </c>
      <c r="R16" s="9">
        <v>0</v>
      </c>
      <c r="S16" s="19">
        <f t="shared" si="0"/>
        <v>0</v>
      </c>
    </row>
    <row r="17" spans="1:19" x14ac:dyDescent="0.45">
      <c r="A17" s="4">
        <v>44558</v>
      </c>
      <c r="B17" s="4">
        <v>44560</v>
      </c>
      <c r="C17" s="5" t="s">
        <v>57</v>
      </c>
      <c r="D17" s="9" t="s">
        <v>58</v>
      </c>
      <c r="E17" s="5" t="s">
        <v>28</v>
      </c>
      <c r="F17" s="5" t="s">
        <v>29</v>
      </c>
      <c r="G17" s="5" t="s">
        <v>30</v>
      </c>
      <c r="H17" s="5" t="s">
        <v>135</v>
      </c>
      <c r="I17" s="9">
        <v>21</v>
      </c>
      <c r="J17" s="12">
        <v>61.308</v>
      </c>
      <c r="K17" s="7">
        <v>1287.47</v>
      </c>
      <c r="L17" s="9">
        <v>115.16</v>
      </c>
      <c r="M17" s="9">
        <v>5.79</v>
      </c>
      <c r="N17" s="9">
        <v>0.56999999999999995</v>
      </c>
      <c r="O17" s="6" t="s">
        <v>31</v>
      </c>
      <c r="P17" s="24">
        <v>148996</v>
      </c>
      <c r="Q17" s="9">
        <v>0</v>
      </c>
      <c r="R17" s="19">
        <v>0</v>
      </c>
      <c r="S17" s="19">
        <f t="shared" si="0"/>
        <v>0</v>
      </c>
    </row>
    <row r="18" spans="1:19" x14ac:dyDescent="0.45">
      <c r="A18" s="4">
        <v>44558</v>
      </c>
      <c r="B18" s="4">
        <v>44560</v>
      </c>
      <c r="C18" s="5" t="s">
        <v>57</v>
      </c>
      <c r="D18" s="9" t="s">
        <v>58</v>
      </c>
      <c r="E18" s="5" t="s">
        <v>28</v>
      </c>
      <c r="F18" s="5" t="s">
        <v>29</v>
      </c>
      <c r="G18" s="5" t="s">
        <v>30</v>
      </c>
      <c r="H18" s="5" t="s">
        <v>135</v>
      </c>
      <c r="I18" s="9">
        <v>2</v>
      </c>
      <c r="J18" s="12">
        <v>61.21</v>
      </c>
      <c r="K18" s="7">
        <v>122.42</v>
      </c>
      <c r="L18" s="9">
        <v>115.16</v>
      </c>
      <c r="M18" s="9">
        <v>0.55000000000000004</v>
      </c>
      <c r="N18" s="9">
        <v>0.05</v>
      </c>
      <c r="O18" s="6" t="s">
        <v>31</v>
      </c>
      <c r="P18" s="24">
        <v>14166</v>
      </c>
      <c r="Q18" s="9">
        <v>0</v>
      </c>
      <c r="R18" s="19">
        <v>0</v>
      </c>
      <c r="S18" s="19">
        <f t="shared" si="0"/>
        <v>0</v>
      </c>
    </row>
    <row r="19" spans="1:19" x14ac:dyDescent="0.45">
      <c r="A19" s="4">
        <v>45054</v>
      </c>
      <c r="B19" s="4">
        <v>45056</v>
      </c>
      <c r="C19" s="5" t="s">
        <v>59</v>
      </c>
      <c r="D19" s="9" t="s">
        <v>60</v>
      </c>
      <c r="E19" s="5" t="s">
        <v>28</v>
      </c>
      <c r="F19" s="5" t="s">
        <v>29</v>
      </c>
      <c r="G19" s="5" t="s">
        <v>41</v>
      </c>
      <c r="H19" s="5" t="s">
        <v>135</v>
      </c>
      <c r="I19" s="9">
        <v>10</v>
      </c>
      <c r="J19" s="12">
        <v>163.88</v>
      </c>
      <c r="K19" s="7">
        <v>1638.8</v>
      </c>
      <c r="L19" s="9">
        <v>129.43</v>
      </c>
      <c r="M19" s="9">
        <v>7.39</v>
      </c>
      <c r="N19" s="9">
        <v>0.73</v>
      </c>
      <c r="O19" s="6" t="s">
        <v>177</v>
      </c>
      <c r="P19" s="24">
        <v>219957</v>
      </c>
      <c r="Q19" s="19">
        <v>0</v>
      </c>
      <c r="R19" s="19">
        <v>23642</v>
      </c>
      <c r="S19" s="19">
        <f t="shared" si="0"/>
        <v>23642</v>
      </c>
    </row>
    <row r="20" spans="1:19" x14ac:dyDescent="0.45">
      <c r="A20" s="4">
        <v>44918</v>
      </c>
      <c r="B20" s="4">
        <v>44922</v>
      </c>
      <c r="C20" s="5" t="s">
        <v>53</v>
      </c>
      <c r="D20" s="9" t="s">
        <v>54</v>
      </c>
      <c r="E20" s="5" t="s">
        <v>28</v>
      </c>
      <c r="F20" s="5" t="s">
        <v>29</v>
      </c>
      <c r="G20" s="5" t="s">
        <v>41</v>
      </c>
      <c r="H20" s="5" t="s">
        <v>135</v>
      </c>
      <c r="I20" s="9">
        <v>1</v>
      </c>
      <c r="J20" s="12">
        <v>39.03</v>
      </c>
      <c r="K20" s="7">
        <v>39.03</v>
      </c>
      <c r="L20" s="9">
        <v>132.35</v>
      </c>
      <c r="M20" s="9">
        <v>0.18</v>
      </c>
      <c r="N20" s="9">
        <v>0.01</v>
      </c>
      <c r="O20" s="6" t="s">
        <v>31</v>
      </c>
      <c r="P20" s="24">
        <v>5140</v>
      </c>
      <c r="Q20" s="19">
        <v>0</v>
      </c>
      <c r="R20" s="19">
        <v>252</v>
      </c>
      <c r="S20" s="19">
        <f t="shared" si="0"/>
        <v>252</v>
      </c>
    </row>
    <row r="21" spans="1:19" x14ac:dyDescent="0.45">
      <c r="A21" s="4">
        <v>44915</v>
      </c>
      <c r="B21" s="4">
        <v>44917</v>
      </c>
      <c r="C21" s="5" t="s">
        <v>138</v>
      </c>
      <c r="D21" s="9" t="s">
        <v>139</v>
      </c>
      <c r="E21" s="5" t="s">
        <v>67</v>
      </c>
      <c r="F21" s="5" t="s">
        <v>29</v>
      </c>
      <c r="G21" s="5" t="s">
        <v>41</v>
      </c>
      <c r="H21" s="5" t="s">
        <v>135</v>
      </c>
      <c r="I21" s="9">
        <v>14</v>
      </c>
      <c r="J21" s="12">
        <v>161.15</v>
      </c>
      <c r="K21" s="7">
        <v>2256.1</v>
      </c>
      <c r="L21" s="9">
        <v>137.07</v>
      </c>
      <c r="M21" s="9">
        <v>10.210000000000001</v>
      </c>
      <c r="N21" s="9">
        <v>1.01</v>
      </c>
      <c r="O21" s="6" t="s">
        <v>31</v>
      </c>
      <c r="P21" s="24">
        <v>307708</v>
      </c>
      <c r="Q21" s="19">
        <v>0</v>
      </c>
      <c r="R21" s="19">
        <v>2312</v>
      </c>
      <c r="S21" s="19">
        <f t="shared" si="0"/>
        <v>2312</v>
      </c>
    </row>
    <row r="22" spans="1:19" x14ac:dyDescent="0.45">
      <c r="A22" s="4">
        <v>45152</v>
      </c>
      <c r="B22" s="4">
        <v>45154</v>
      </c>
      <c r="C22" s="5" t="s">
        <v>57</v>
      </c>
      <c r="D22" s="9" t="s">
        <v>58</v>
      </c>
      <c r="E22" s="5" t="s">
        <v>67</v>
      </c>
      <c r="F22" s="5" t="s">
        <v>29</v>
      </c>
      <c r="G22" s="5" t="s">
        <v>30</v>
      </c>
      <c r="H22" s="5" t="s">
        <v>146</v>
      </c>
      <c r="I22" s="9">
        <v>9</v>
      </c>
      <c r="J22" s="12">
        <v>111.119</v>
      </c>
      <c r="K22" s="7">
        <v>1000.07</v>
      </c>
      <c r="L22" s="9">
        <v>144.96</v>
      </c>
      <c r="M22" s="9">
        <v>4.5</v>
      </c>
      <c r="N22" s="9">
        <v>0.45</v>
      </c>
      <c r="O22" s="9">
        <v>1005.02</v>
      </c>
      <c r="P22" s="9" t="s">
        <v>177</v>
      </c>
      <c r="Q22" s="9">
        <v>0</v>
      </c>
      <c r="R22" s="9">
        <v>0</v>
      </c>
      <c r="S22" s="19">
        <f t="shared" si="0"/>
        <v>0</v>
      </c>
    </row>
    <row r="23" spans="1:19" x14ac:dyDescent="0.45">
      <c r="A23" s="4">
        <v>45265</v>
      </c>
      <c r="B23" s="4">
        <v>45267</v>
      </c>
      <c r="C23" s="5" t="s">
        <v>144</v>
      </c>
      <c r="D23" s="9" t="s">
        <v>145</v>
      </c>
      <c r="E23" s="5" t="s">
        <v>67</v>
      </c>
      <c r="F23" s="5" t="s">
        <v>29</v>
      </c>
      <c r="G23" s="5" t="s">
        <v>30</v>
      </c>
      <c r="H23" s="5" t="s">
        <v>146</v>
      </c>
      <c r="I23" s="9">
        <v>24</v>
      </c>
      <c r="J23" s="12">
        <v>39.08</v>
      </c>
      <c r="K23" s="7">
        <v>937.92</v>
      </c>
      <c r="L23" s="9">
        <v>147.32</v>
      </c>
      <c r="M23" s="9" t="s">
        <v>177</v>
      </c>
      <c r="N23" s="9" t="s">
        <v>177</v>
      </c>
      <c r="O23" s="9">
        <v>937.92</v>
      </c>
      <c r="P23" s="9" t="s">
        <v>177</v>
      </c>
      <c r="Q23" s="9">
        <v>0</v>
      </c>
      <c r="R23" s="9">
        <v>0</v>
      </c>
      <c r="S23" s="19">
        <f t="shared" si="0"/>
        <v>0</v>
      </c>
    </row>
    <row r="24" spans="1:19" x14ac:dyDescent="0.45">
      <c r="A24" s="4">
        <v>44915</v>
      </c>
      <c r="B24" s="4">
        <v>44917</v>
      </c>
      <c r="C24" s="5" t="s">
        <v>138</v>
      </c>
      <c r="D24" s="9" t="s">
        <v>139</v>
      </c>
      <c r="E24" s="5" t="s">
        <v>67</v>
      </c>
      <c r="F24" s="5" t="s">
        <v>29</v>
      </c>
      <c r="G24" s="5" t="s">
        <v>41</v>
      </c>
      <c r="H24" s="5" t="s">
        <v>135</v>
      </c>
      <c r="I24" s="9">
        <v>1</v>
      </c>
      <c r="J24" s="12">
        <v>161.15</v>
      </c>
      <c r="K24" s="7">
        <v>161.15</v>
      </c>
      <c r="L24" s="9">
        <v>137.07</v>
      </c>
      <c r="M24" s="9">
        <v>0.72</v>
      </c>
      <c r="N24" s="9">
        <v>7.0000000000000007E-2</v>
      </c>
      <c r="O24" s="6" t="s">
        <v>31</v>
      </c>
      <c r="P24" s="24">
        <v>21979</v>
      </c>
      <c r="Q24" s="19">
        <v>0</v>
      </c>
      <c r="R24" s="19">
        <v>165.1236133333332</v>
      </c>
      <c r="S24" s="19">
        <f t="shared" si="0"/>
        <v>165.1236133333332</v>
      </c>
    </row>
    <row r="25" spans="1:19" x14ac:dyDescent="0.45">
      <c r="A25" s="4">
        <v>44915</v>
      </c>
      <c r="B25" s="4">
        <v>44917</v>
      </c>
      <c r="C25" s="5" t="s">
        <v>57</v>
      </c>
      <c r="D25" s="9" t="s">
        <v>58</v>
      </c>
      <c r="E25" s="5" t="s">
        <v>28</v>
      </c>
      <c r="F25" s="5" t="s">
        <v>29</v>
      </c>
      <c r="G25" s="5" t="s">
        <v>41</v>
      </c>
      <c r="H25" s="5" t="s">
        <v>135</v>
      </c>
      <c r="I25" s="9">
        <v>23</v>
      </c>
      <c r="J25" s="12">
        <v>105.6</v>
      </c>
      <c r="K25" s="7">
        <v>2428.8000000000002</v>
      </c>
      <c r="L25" s="9">
        <v>137.07</v>
      </c>
      <c r="M25" s="9">
        <v>10.98</v>
      </c>
      <c r="N25" s="9">
        <v>1.0900000000000001</v>
      </c>
      <c r="O25" s="6" t="s">
        <v>31</v>
      </c>
      <c r="P25" s="24">
        <v>331262</v>
      </c>
      <c r="Q25" s="19">
        <v>0</v>
      </c>
      <c r="R25" s="19">
        <v>168100</v>
      </c>
      <c r="S25" s="19">
        <f t="shared" si="0"/>
        <v>168100</v>
      </c>
    </row>
    <row r="26" spans="1:19" x14ac:dyDescent="0.45">
      <c r="A26" s="4">
        <v>45287</v>
      </c>
      <c r="B26" s="4">
        <v>45289</v>
      </c>
      <c r="C26" s="5" t="s">
        <v>234</v>
      </c>
      <c r="D26" s="9" t="s">
        <v>235</v>
      </c>
      <c r="E26" s="5" t="s">
        <v>67</v>
      </c>
      <c r="F26" s="5" t="s">
        <v>29</v>
      </c>
      <c r="G26" s="5" t="s">
        <v>30</v>
      </c>
      <c r="H26" s="5" t="s">
        <v>146</v>
      </c>
      <c r="I26" s="9">
        <v>44</v>
      </c>
      <c r="J26" s="12">
        <v>31.83</v>
      </c>
      <c r="K26" s="7">
        <v>1400.52</v>
      </c>
      <c r="L26" s="9">
        <v>142.88999999999999</v>
      </c>
      <c r="M26" s="9">
        <v>6.3</v>
      </c>
      <c r="N26" s="9">
        <v>0.63</v>
      </c>
      <c r="O26" s="9">
        <v>1407.45</v>
      </c>
      <c r="P26" s="9" t="s">
        <v>177</v>
      </c>
      <c r="Q26" s="9">
        <v>0</v>
      </c>
      <c r="R26" s="9">
        <v>0</v>
      </c>
      <c r="S26" s="19">
        <f t="shared" si="0"/>
        <v>0</v>
      </c>
    </row>
    <row r="27" spans="1:19" x14ac:dyDescent="0.45">
      <c r="A27" s="4">
        <v>45343</v>
      </c>
      <c r="B27" s="4">
        <v>45348</v>
      </c>
      <c r="C27" s="5" t="s">
        <v>65</v>
      </c>
      <c r="D27" s="9" t="s">
        <v>66</v>
      </c>
      <c r="E27" s="5" t="s">
        <v>67</v>
      </c>
      <c r="F27" s="5" t="s">
        <v>29</v>
      </c>
      <c r="G27" s="5" t="s">
        <v>41</v>
      </c>
      <c r="H27" s="5" t="s">
        <v>146</v>
      </c>
      <c r="I27" s="9">
        <v>10</v>
      </c>
      <c r="J27" s="12">
        <v>91.25</v>
      </c>
      <c r="K27" s="7">
        <v>912.5</v>
      </c>
      <c r="L27" s="9">
        <v>149.82</v>
      </c>
      <c r="M27" s="9">
        <v>4.1100000000000003</v>
      </c>
      <c r="N27" s="9">
        <v>0.41</v>
      </c>
      <c r="O27" s="9">
        <v>907.98</v>
      </c>
      <c r="P27" s="9" t="s">
        <v>177</v>
      </c>
      <c r="Q27" s="25">
        <v>-350.71</v>
      </c>
      <c r="R27" s="9">
        <v>0</v>
      </c>
      <c r="S27" s="19">
        <f t="shared" si="0"/>
        <v>-52543.372199999998</v>
      </c>
    </row>
    <row r="28" spans="1:19" x14ac:dyDescent="0.45">
      <c r="A28" s="4">
        <v>45348</v>
      </c>
      <c r="B28" s="4">
        <v>45350</v>
      </c>
      <c r="C28" s="5" t="s">
        <v>245</v>
      </c>
      <c r="D28" s="9" t="s">
        <v>247</v>
      </c>
      <c r="E28" s="5" t="s">
        <v>67</v>
      </c>
      <c r="F28" s="5" t="s">
        <v>29</v>
      </c>
      <c r="G28" s="5" t="s">
        <v>30</v>
      </c>
      <c r="H28" s="5" t="s">
        <v>146</v>
      </c>
      <c r="I28" s="9">
        <v>2</v>
      </c>
      <c r="J28" s="9">
        <v>409.66</v>
      </c>
      <c r="K28" s="9">
        <v>819.32</v>
      </c>
      <c r="L28" s="9">
        <v>150.65</v>
      </c>
      <c r="M28" s="9">
        <v>3.68</v>
      </c>
      <c r="N28" s="9">
        <v>0.36</v>
      </c>
      <c r="O28" s="9">
        <v>823.36</v>
      </c>
      <c r="P28" s="9" t="s">
        <v>177</v>
      </c>
      <c r="Q28" s="9">
        <v>0</v>
      </c>
      <c r="R28" s="9">
        <v>0</v>
      </c>
      <c r="S28" s="19">
        <f t="shared" si="0"/>
        <v>0</v>
      </c>
    </row>
    <row r="29" spans="1:19" x14ac:dyDescent="0.45">
      <c r="A29" s="4">
        <v>45349</v>
      </c>
      <c r="B29" s="4">
        <v>45351</v>
      </c>
      <c r="C29" s="5" t="s">
        <v>144</v>
      </c>
      <c r="D29" s="9" t="s">
        <v>145</v>
      </c>
      <c r="E29" s="5" t="s">
        <v>67</v>
      </c>
      <c r="F29" s="5" t="s">
        <v>29</v>
      </c>
      <c r="G29" s="5" t="s">
        <v>30</v>
      </c>
      <c r="H29" s="5" t="s">
        <v>146</v>
      </c>
      <c r="I29" s="9">
        <v>3</v>
      </c>
      <c r="J29" s="12">
        <v>44.23</v>
      </c>
      <c r="K29" s="7">
        <v>132.69</v>
      </c>
      <c r="L29" s="9">
        <v>150.83000000000001</v>
      </c>
      <c r="M29" s="9" t="s">
        <v>177</v>
      </c>
      <c r="N29" s="9" t="s">
        <v>177</v>
      </c>
      <c r="O29" s="9">
        <v>132.69</v>
      </c>
      <c r="P29" s="9" t="s">
        <v>177</v>
      </c>
      <c r="Q29" s="9">
        <v>0</v>
      </c>
      <c r="R29" s="9">
        <v>0</v>
      </c>
      <c r="S29" s="19">
        <f t="shared" si="0"/>
        <v>0</v>
      </c>
    </row>
    <row r="30" spans="1:19" x14ac:dyDescent="0.45">
      <c r="A30" s="4">
        <v>45419</v>
      </c>
      <c r="B30" s="4">
        <v>45421</v>
      </c>
      <c r="C30" s="5" t="s">
        <v>234</v>
      </c>
      <c r="D30" s="9" t="s">
        <v>235</v>
      </c>
      <c r="E30" s="5" t="s">
        <v>67</v>
      </c>
      <c r="F30" s="5" t="s">
        <v>29</v>
      </c>
      <c r="G30" s="5" t="s">
        <v>41</v>
      </c>
      <c r="H30" s="5" t="s">
        <v>146</v>
      </c>
      <c r="I30" s="9">
        <v>44</v>
      </c>
      <c r="J30" s="12">
        <v>33.660299999999999</v>
      </c>
      <c r="K30" s="7">
        <v>1481.05</v>
      </c>
      <c r="L30" s="9">
        <v>153.71</v>
      </c>
      <c r="M30" s="9">
        <v>6.68</v>
      </c>
      <c r="N30" s="9">
        <v>0.66</v>
      </c>
      <c r="O30" s="25">
        <v>1473.71</v>
      </c>
      <c r="P30" s="9" t="s">
        <v>177</v>
      </c>
      <c r="Q30" s="9">
        <v>66.260000000000005</v>
      </c>
      <c r="R30" s="9">
        <v>0</v>
      </c>
      <c r="S30" s="19">
        <f t="shared" si="0"/>
        <v>10184.824600000002</v>
      </c>
    </row>
    <row r="31" spans="1:19" x14ac:dyDescent="0.45">
      <c r="A31" s="4">
        <v>45461</v>
      </c>
      <c r="B31" s="4">
        <v>45463</v>
      </c>
      <c r="C31" s="5" t="s">
        <v>256</v>
      </c>
      <c r="D31" s="9" t="s">
        <v>255</v>
      </c>
      <c r="E31" s="5" t="s">
        <v>67</v>
      </c>
      <c r="F31" s="5" t="s">
        <v>29</v>
      </c>
      <c r="G31" s="5" t="s">
        <v>30</v>
      </c>
      <c r="H31" s="5" t="s">
        <v>146</v>
      </c>
      <c r="I31" s="9">
        <v>8</v>
      </c>
      <c r="J31" s="12">
        <v>175.55</v>
      </c>
      <c r="K31" s="9">
        <f>I31*J31</f>
        <v>1404.4</v>
      </c>
      <c r="L31" s="9">
        <v>157.93</v>
      </c>
      <c r="M31" s="9">
        <v>6.31</v>
      </c>
      <c r="N31" s="9">
        <v>0.63</v>
      </c>
      <c r="O31" s="28">
        <v>1411.34</v>
      </c>
      <c r="P31" s="9" t="s">
        <v>177</v>
      </c>
      <c r="Q31" s="9">
        <v>0</v>
      </c>
      <c r="R31" s="9">
        <v>0</v>
      </c>
      <c r="S31" s="19">
        <f t="shared" si="0"/>
        <v>0</v>
      </c>
    </row>
    <row r="32" spans="1:19" x14ac:dyDescent="0.45">
      <c r="A32" s="4">
        <v>45520</v>
      </c>
      <c r="B32" s="4">
        <v>45525</v>
      </c>
      <c r="C32" s="5" t="s">
        <v>245</v>
      </c>
      <c r="D32" s="9" t="s">
        <v>247</v>
      </c>
      <c r="E32" s="5" t="s">
        <v>67</v>
      </c>
      <c r="F32" s="5" t="s">
        <v>29</v>
      </c>
      <c r="G32" s="5" t="s">
        <v>41</v>
      </c>
      <c r="H32" s="5" t="s">
        <v>146</v>
      </c>
      <c r="I32" s="9">
        <v>2</v>
      </c>
      <c r="J32" s="12">
        <v>418</v>
      </c>
      <c r="K32" s="9">
        <f>I32*J32</f>
        <v>836</v>
      </c>
      <c r="L32" s="9">
        <v>147.61000000000001</v>
      </c>
      <c r="M32" s="9">
        <v>3.79</v>
      </c>
      <c r="N32" s="9">
        <v>0.37</v>
      </c>
      <c r="O32" s="9">
        <v>831.84</v>
      </c>
      <c r="P32" s="7" t="s">
        <v>177</v>
      </c>
      <c r="Q32" s="9">
        <v>12.64</v>
      </c>
      <c r="R32" s="9">
        <v>0</v>
      </c>
      <c r="S32" s="19">
        <f t="shared" si="0"/>
        <v>1865.7904000000003</v>
      </c>
    </row>
    <row r="33" spans="1:19" x14ac:dyDescent="0.45">
      <c r="A33" s="4">
        <v>45597</v>
      </c>
      <c r="B33" s="4">
        <v>45602</v>
      </c>
      <c r="C33" s="5" t="s">
        <v>140</v>
      </c>
      <c r="D33" s="9" t="s">
        <v>141</v>
      </c>
      <c r="E33" s="5" t="s">
        <v>67</v>
      </c>
      <c r="F33" s="5" t="s">
        <v>29</v>
      </c>
      <c r="G33" s="5" t="s">
        <v>41</v>
      </c>
      <c r="H33" s="5" t="s">
        <v>135</v>
      </c>
      <c r="I33" s="9">
        <v>20</v>
      </c>
      <c r="J33" s="12">
        <v>223.2</v>
      </c>
      <c r="K33" s="28">
        <v>4464</v>
      </c>
      <c r="L33" s="9">
        <v>151.85</v>
      </c>
      <c r="M33" s="9">
        <v>20.13</v>
      </c>
      <c r="N33" s="12">
        <v>2</v>
      </c>
      <c r="O33" s="9" t="s">
        <v>271</v>
      </c>
      <c r="P33" s="8">
        <v>674498</v>
      </c>
      <c r="Q33" s="9">
        <v>0</v>
      </c>
      <c r="R33" s="19">
        <v>296438</v>
      </c>
      <c r="S33" s="19">
        <f t="shared" si="0"/>
        <v>296438</v>
      </c>
    </row>
    <row r="34" spans="1:19" x14ac:dyDescent="0.45">
      <c r="A34" s="4">
        <v>45615</v>
      </c>
      <c r="B34" s="4">
        <v>45617</v>
      </c>
      <c r="C34" s="5" t="s">
        <v>144</v>
      </c>
      <c r="D34" s="9" t="s">
        <v>145</v>
      </c>
      <c r="E34" s="5" t="s">
        <v>67</v>
      </c>
      <c r="F34" s="5" t="s">
        <v>29</v>
      </c>
      <c r="G34" s="5" t="s">
        <v>41</v>
      </c>
      <c r="H34" s="5" t="s">
        <v>146</v>
      </c>
      <c r="I34" s="9">
        <v>30</v>
      </c>
      <c r="J34" s="12">
        <v>45.76</v>
      </c>
      <c r="K34" s="7">
        <v>1372.8</v>
      </c>
      <c r="L34" s="9">
        <v>154.18</v>
      </c>
      <c r="M34" s="9">
        <v>6.21</v>
      </c>
      <c r="N34" s="9">
        <v>0.61</v>
      </c>
      <c r="O34" s="9">
        <v>1365.98</v>
      </c>
      <c r="P34" s="7" t="s">
        <v>278</v>
      </c>
      <c r="Q34" s="9">
        <v>205.05</v>
      </c>
      <c r="R34" s="9">
        <v>0</v>
      </c>
      <c r="S34" s="19">
        <f t="shared" si="0"/>
        <v>31614.609000000004</v>
      </c>
    </row>
    <row r="35" spans="1:19" x14ac:dyDescent="0.45">
      <c r="A35" s="4">
        <v>45615</v>
      </c>
      <c r="B35" s="4">
        <v>45617</v>
      </c>
      <c r="C35" s="5" t="s">
        <v>277</v>
      </c>
      <c r="D35" s="9" t="s">
        <v>276</v>
      </c>
      <c r="E35" s="5" t="s">
        <v>67</v>
      </c>
      <c r="F35" s="5" t="s">
        <v>29</v>
      </c>
      <c r="G35" s="5" t="s">
        <v>30</v>
      </c>
      <c r="H35" s="5" t="s">
        <v>146</v>
      </c>
      <c r="I35" s="9">
        <v>2</v>
      </c>
      <c r="J35" s="12">
        <v>346.98719999999997</v>
      </c>
      <c r="K35" s="7">
        <v>693.97</v>
      </c>
      <c r="L35" s="9">
        <v>154.68</v>
      </c>
      <c r="M35" s="9">
        <v>3.12</v>
      </c>
      <c r="N35" s="9">
        <v>0.31</v>
      </c>
      <c r="O35" s="9">
        <v>697.4</v>
      </c>
      <c r="P35" s="7" t="s">
        <v>278</v>
      </c>
      <c r="Q35" s="9">
        <v>0</v>
      </c>
      <c r="R35" s="9">
        <v>0</v>
      </c>
      <c r="S35" s="19">
        <f t="shared" si="0"/>
        <v>0</v>
      </c>
    </row>
    <row r="36" spans="1:19" x14ac:dyDescent="0.45">
      <c r="A36" s="4">
        <v>45663</v>
      </c>
      <c r="B36" s="4">
        <v>45665</v>
      </c>
      <c r="C36" s="5" t="s">
        <v>292</v>
      </c>
      <c r="D36" s="9" t="s">
        <v>293</v>
      </c>
      <c r="E36" s="5" t="s">
        <v>67</v>
      </c>
      <c r="F36" s="5" t="s">
        <v>29</v>
      </c>
      <c r="G36" s="5" t="s">
        <v>30</v>
      </c>
      <c r="H36" s="5" t="s">
        <v>146</v>
      </c>
      <c r="I36" s="9">
        <v>4</v>
      </c>
      <c r="J36" s="12">
        <v>77.47</v>
      </c>
      <c r="K36" s="9">
        <v>309.88</v>
      </c>
      <c r="L36" s="9">
        <v>158.93299999999999</v>
      </c>
      <c r="M36" s="9">
        <v>1.39</v>
      </c>
      <c r="N36" s="9">
        <v>0.13</v>
      </c>
      <c r="O36" s="9">
        <v>311.39999999999998</v>
      </c>
      <c r="P36" s="7" t="s">
        <v>288</v>
      </c>
      <c r="Q36" s="9">
        <v>0</v>
      </c>
      <c r="R36" s="9">
        <v>0</v>
      </c>
      <c r="S36" s="19">
        <f t="shared" si="0"/>
        <v>0</v>
      </c>
    </row>
    <row r="37" spans="1:19" x14ac:dyDescent="0.45">
      <c r="A37" s="4">
        <v>45682</v>
      </c>
      <c r="B37" s="4">
        <v>45686</v>
      </c>
      <c r="C37" s="5" t="s">
        <v>256</v>
      </c>
      <c r="D37" s="9" t="s">
        <v>255</v>
      </c>
      <c r="E37" s="5" t="s">
        <v>67</v>
      </c>
      <c r="F37" s="5" t="s">
        <v>29</v>
      </c>
      <c r="G37" s="5" t="s">
        <v>41</v>
      </c>
      <c r="H37" s="5" t="s">
        <v>146</v>
      </c>
      <c r="I37" s="9">
        <v>8</v>
      </c>
      <c r="J37" s="9">
        <v>199.33099999999999</v>
      </c>
      <c r="K37" s="9">
        <v>1594.64</v>
      </c>
      <c r="L37" s="9">
        <v>155.41</v>
      </c>
      <c r="M37" s="9">
        <v>7.22</v>
      </c>
      <c r="N37" s="9">
        <v>0.71</v>
      </c>
      <c r="O37" s="9">
        <v>1586.72</v>
      </c>
      <c r="P37" s="7" t="s">
        <v>301</v>
      </c>
      <c r="Q37" s="9">
        <v>183.31</v>
      </c>
      <c r="R37" s="9">
        <v>0</v>
      </c>
      <c r="S37" s="19">
        <f t="shared" si="0"/>
        <v>28488.2071</v>
      </c>
    </row>
    <row r="38" spans="1:19" x14ac:dyDescent="0.45">
      <c r="A38" s="4">
        <v>45687</v>
      </c>
      <c r="B38" s="4">
        <v>45691</v>
      </c>
      <c r="C38" s="5" t="s">
        <v>292</v>
      </c>
      <c r="D38" s="9" t="s">
        <v>293</v>
      </c>
      <c r="E38" s="5" t="s">
        <v>67</v>
      </c>
      <c r="F38" s="5" t="s">
        <v>29</v>
      </c>
      <c r="G38" s="5" t="s">
        <v>41</v>
      </c>
      <c r="H38" s="5" t="s">
        <v>146</v>
      </c>
      <c r="I38" s="9">
        <v>4</v>
      </c>
      <c r="J38" s="12">
        <v>78.569999999999993</v>
      </c>
      <c r="K38" s="7">
        <v>314.27999999999997</v>
      </c>
      <c r="L38" s="9">
        <v>154.37</v>
      </c>
      <c r="M38" s="9">
        <v>1.42</v>
      </c>
      <c r="N38" s="9">
        <v>0.14000000000000001</v>
      </c>
      <c r="O38" s="7">
        <v>312.72000000000003</v>
      </c>
      <c r="P38" s="7" t="s">
        <v>303</v>
      </c>
      <c r="Q38" s="9">
        <v>2.88</v>
      </c>
      <c r="R38" s="9">
        <v>0</v>
      </c>
      <c r="S38" s="19">
        <f t="shared" si="0"/>
        <v>444.5856</v>
      </c>
    </row>
    <row r="39" spans="1:19" x14ac:dyDescent="0.45">
      <c r="A39" s="4">
        <v>45700</v>
      </c>
      <c r="B39" s="4">
        <v>45702</v>
      </c>
      <c r="C39" s="5" t="s">
        <v>277</v>
      </c>
      <c r="D39" s="9" t="s">
        <v>276</v>
      </c>
      <c r="E39" s="5" t="s">
        <v>67</v>
      </c>
      <c r="F39" s="5" t="s">
        <v>29</v>
      </c>
      <c r="G39" s="5" t="s">
        <v>41</v>
      </c>
      <c r="H39" s="5" t="s">
        <v>146</v>
      </c>
      <c r="I39" s="9">
        <v>6</v>
      </c>
      <c r="J39" s="12">
        <v>345.6</v>
      </c>
      <c r="K39" s="7">
        <v>2073.6</v>
      </c>
      <c r="L39" s="9">
        <v>152.99</v>
      </c>
      <c r="M39" s="9">
        <v>9.39</v>
      </c>
      <c r="N39" s="9">
        <v>0.93</v>
      </c>
      <c r="O39" s="7">
        <v>2063.2800000000002</v>
      </c>
      <c r="P39" s="7" t="s">
        <v>315</v>
      </c>
      <c r="Q39" s="25">
        <v>15.11</v>
      </c>
      <c r="R39" s="9">
        <v>0</v>
      </c>
      <c r="S39" s="19">
        <f t="shared" si="0"/>
        <v>2311.6788999999999</v>
      </c>
    </row>
    <row r="40" spans="1:19" x14ac:dyDescent="0.45">
      <c r="A40" s="4">
        <v>45700</v>
      </c>
      <c r="B40" s="4">
        <v>45702</v>
      </c>
      <c r="C40" s="5" t="s">
        <v>317</v>
      </c>
      <c r="D40" s="9" t="s">
        <v>320</v>
      </c>
      <c r="E40" s="5" t="s">
        <v>67</v>
      </c>
      <c r="F40" s="5" t="s">
        <v>29</v>
      </c>
      <c r="G40" s="5" t="s">
        <v>30</v>
      </c>
      <c r="H40" s="5" t="s">
        <v>146</v>
      </c>
      <c r="I40" s="9">
        <v>25</v>
      </c>
      <c r="J40" s="9">
        <v>41.5</v>
      </c>
      <c r="K40" s="7">
        <v>1037.5</v>
      </c>
      <c r="L40" s="9">
        <v>153.49</v>
      </c>
      <c r="M40" s="9">
        <v>4.66</v>
      </c>
      <c r="N40" s="9">
        <v>0.46</v>
      </c>
      <c r="O40" s="7">
        <v>1042.6199999999999</v>
      </c>
      <c r="P40" s="7" t="s">
        <v>315</v>
      </c>
      <c r="Q40" s="9">
        <v>0</v>
      </c>
      <c r="R40" s="9">
        <v>0</v>
      </c>
      <c r="S40" s="19">
        <f t="shared" si="0"/>
        <v>0</v>
      </c>
    </row>
    <row r="41" spans="1:19" x14ac:dyDescent="0.45">
      <c r="A41" s="4">
        <v>45701</v>
      </c>
      <c r="B41" s="4">
        <v>45705</v>
      </c>
      <c r="C41" s="5" t="s">
        <v>318</v>
      </c>
      <c r="D41" s="9" t="s">
        <v>321</v>
      </c>
      <c r="E41" s="5" t="s">
        <v>67</v>
      </c>
      <c r="F41" s="5" t="s">
        <v>29</v>
      </c>
      <c r="G41" s="5" t="s">
        <v>30</v>
      </c>
      <c r="H41" s="5" t="s">
        <v>146</v>
      </c>
      <c r="I41" s="9">
        <v>3</v>
      </c>
      <c r="J41" s="9">
        <v>376.69</v>
      </c>
      <c r="K41" s="7">
        <v>1130.07</v>
      </c>
      <c r="L41" s="9">
        <v>154.96</v>
      </c>
      <c r="M41" s="9">
        <v>5.08</v>
      </c>
      <c r="N41" s="9">
        <v>0.5</v>
      </c>
      <c r="O41" s="7">
        <v>1135.6500000000001</v>
      </c>
      <c r="P41" s="7" t="s">
        <v>315</v>
      </c>
      <c r="Q41" s="9">
        <v>0</v>
      </c>
      <c r="R41" s="9">
        <v>0</v>
      </c>
      <c r="S41" s="19">
        <f t="shared" si="0"/>
        <v>0</v>
      </c>
    </row>
    <row r="42" spans="1:19" x14ac:dyDescent="0.45">
      <c r="A42" s="4">
        <v>45701</v>
      </c>
      <c r="B42" s="4">
        <v>45705</v>
      </c>
      <c r="C42" s="5" t="s">
        <v>319</v>
      </c>
      <c r="D42" s="9" t="s">
        <v>322</v>
      </c>
      <c r="E42" s="5" t="s">
        <v>67</v>
      </c>
      <c r="F42" s="5" t="s">
        <v>29</v>
      </c>
      <c r="G42" s="5" t="s">
        <v>30</v>
      </c>
      <c r="H42" s="5" t="s">
        <v>146</v>
      </c>
      <c r="I42" s="9">
        <v>40</v>
      </c>
      <c r="J42" s="9">
        <v>8.4649999999999999</v>
      </c>
      <c r="K42" s="7">
        <v>338.6</v>
      </c>
      <c r="L42" s="9">
        <v>154.96</v>
      </c>
      <c r="M42" s="9">
        <v>1.52</v>
      </c>
      <c r="N42" s="9">
        <v>0.15</v>
      </c>
      <c r="O42" s="7">
        <v>340.27</v>
      </c>
      <c r="P42" s="7" t="s">
        <v>315</v>
      </c>
      <c r="Q42" s="9">
        <v>0</v>
      </c>
      <c r="R42" s="9">
        <v>0</v>
      </c>
      <c r="S42" s="19">
        <f t="shared" si="0"/>
        <v>0</v>
      </c>
    </row>
    <row r="43" spans="1:19" x14ac:dyDescent="0.45">
      <c r="A43" s="4">
        <v>45707</v>
      </c>
      <c r="B43" s="4">
        <v>45709</v>
      </c>
      <c r="C43" s="5" t="s">
        <v>316</v>
      </c>
      <c r="D43" s="9" t="s">
        <v>323</v>
      </c>
      <c r="E43" s="5" t="s">
        <v>67</v>
      </c>
      <c r="F43" s="5" t="s">
        <v>29</v>
      </c>
      <c r="G43" s="5" t="s">
        <v>30</v>
      </c>
      <c r="H43" s="5" t="s">
        <v>146</v>
      </c>
      <c r="I43" s="9">
        <v>5</v>
      </c>
      <c r="J43" s="9">
        <v>16.9377</v>
      </c>
      <c r="K43" s="9">
        <v>84.69</v>
      </c>
      <c r="L43" s="9">
        <v>152.41</v>
      </c>
      <c r="M43" s="9">
        <v>0.38</v>
      </c>
      <c r="N43" s="9">
        <v>0.03</v>
      </c>
      <c r="O43" s="9">
        <v>85.1</v>
      </c>
      <c r="P43" s="7" t="s">
        <v>315</v>
      </c>
      <c r="Q43" s="9">
        <v>0</v>
      </c>
      <c r="R43" s="9">
        <v>0</v>
      </c>
      <c r="S43" s="19">
        <f t="shared" si="0"/>
        <v>0</v>
      </c>
    </row>
    <row r="44" spans="1:19" x14ac:dyDescent="0.45">
      <c r="A44" s="4">
        <v>45755</v>
      </c>
      <c r="B44" s="4">
        <v>45757</v>
      </c>
      <c r="C44" s="5" t="s">
        <v>329</v>
      </c>
      <c r="D44" s="9" t="s">
        <v>328</v>
      </c>
      <c r="E44" s="5" t="s">
        <v>67</v>
      </c>
      <c r="F44" s="5" t="s">
        <v>29</v>
      </c>
      <c r="G44" s="5" t="s">
        <v>30</v>
      </c>
      <c r="H44" s="5" t="s">
        <v>146</v>
      </c>
      <c r="I44" s="9">
        <v>10</v>
      </c>
      <c r="J44" s="9">
        <v>33.49</v>
      </c>
      <c r="K44" s="7">
        <v>334.9</v>
      </c>
      <c r="L44" s="9">
        <v>147.81</v>
      </c>
      <c r="M44" s="9">
        <v>1.5</v>
      </c>
      <c r="N44" s="9">
        <v>0.15</v>
      </c>
      <c r="O44" s="7">
        <v>336.55</v>
      </c>
      <c r="P44" s="7" t="s">
        <v>330</v>
      </c>
      <c r="Q44" s="9">
        <v>0</v>
      </c>
      <c r="R44" s="9">
        <v>0</v>
      </c>
      <c r="S44" s="19">
        <f t="shared" si="0"/>
        <v>0</v>
      </c>
    </row>
    <row r="45" spans="1:19" x14ac:dyDescent="0.45">
      <c r="A45" s="4">
        <v>45757</v>
      </c>
      <c r="B45" s="4">
        <v>45761</v>
      </c>
      <c r="C45" s="5" t="s">
        <v>329</v>
      </c>
      <c r="D45" s="9" t="s">
        <v>328</v>
      </c>
      <c r="E45" s="5" t="s">
        <v>67</v>
      </c>
      <c r="F45" s="5" t="s">
        <v>29</v>
      </c>
      <c r="G45" s="5" t="s">
        <v>30</v>
      </c>
      <c r="H45" s="5" t="s">
        <v>146</v>
      </c>
      <c r="I45" s="9">
        <v>15</v>
      </c>
      <c r="J45" s="9">
        <v>33.599800000000002</v>
      </c>
      <c r="K45" s="7">
        <v>503.99</v>
      </c>
      <c r="L45" s="9">
        <v>147.01</v>
      </c>
      <c r="M45" s="9">
        <v>2.2599999999999998</v>
      </c>
      <c r="N45" s="9">
        <v>0.22</v>
      </c>
      <c r="O45" s="7">
        <v>506.48</v>
      </c>
      <c r="P45" s="7" t="s">
        <v>330</v>
      </c>
      <c r="Q45" s="9">
        <v>0</v>
      </c>
      <c r="R45" s="9">
        <v>0</v>
      </c>
      <c r="S45" s="19">
        <f t="shared" si="0"/>
        <v>0</v>
      </c>
    </row>
    <row r="46" spans="1:19" x14ac:dyDescent="0.45">
      <c r="A46" s="4">
        <v>45820</v>
      </c>
      <c r="B46" s="4">
        <v>45824</v>
      </c>
      <c r="C46" s="5" t="s">
        <v>318</v>
      </c>
      <c r="D46" s="9" t="s">
        <v>321</v>
      </c>
      <c r="E46" s="5" t="s">
        <v>67</v>
      </c>
      <c r="F46" s="5" t="s">
        <v>29</v>
      </c>
      <c r="G46" s="5" t="s">
        <v>41</v>
      </c>
      <c r="H46" s="5" t="s">
        <v>146</v>
      </c>
      <c r="I46" s="9">
        <v>3</v>
      </c>
      <c r="J46" s="9">
        <v>381.13</v>
      </c>
      <c r="K46" s="7">
        <v>1143.3900000000001</v>
      </c>
      <c r="L46" s="9">
        <v>143.72999999999999</v>
      </c>
      <c r="M46" s="9">
        <v>5.14</v>
      </c>
      <c r="N46" s="9">
        <v>0.51</v>
      </c>
      <c r="O46" s="7">
        <v>1137.74</v>
      </c>
      <c r="P46" s="7" t="s">
        <v>354</v>
      </c>
      <c r="Q46" s="9">
        <v>7.74</v>
      </c>
      <c r="R46" s="9">
        <v>0</v>
      </c>
      <c r="S46" s="19">
        <f t="shared" si="0"/>
        <v>1112.4702</v>
      </c>
    </row>
    <row r="47" spans="1:19" x14ac:dyDescent="0.45">
      <c r="A47" s="4">
        <v>45833</v>
      </c>
      <c r="B47" s="4">
        <v>45835</v>
      </c>
      <c r="C47" s="5" t="s">
        <v>136</v>
      </c>
      <c r="D47" s="9" t="s">
        <v>137</v>
      </c>
      <c r="E47" s="5" t="s">
        <v>67</v>
      </c>
      <c r="F47" s="5" t="s">
        <v>29</v>
      </c>
      <c r="G47" s="5" t="s">
        <v>41</v>
      </c>
      <c r="H47" s="5" t="s">
        <v>146</v>
      </c>
      <c r="I47" s="9">
        <v>10</v>
      </c>
      <c r="J47" s="9">
        <v>299.2</v>
      </c>
      <c r="K47" s="7">
        <v>2992</v>
      </c>
      <c r="L47" s="9">
        <v>144.47</v>
      </c>
      <c r="M47" s="9">
        <v>13.46</v>
      </c>
      <c r="N47" s="9">
        <v>1.34</v>
      </c>
      <c r="O47" s="7">
        <v>2977.2</v>
      </c>
      <c r="P47" s="7" t="s">
        <v>354</v>
      </c>
      <c r="Q47" s="28">
        <v>1053</v>
      </c>
      <c r="R47" s="9">
        <v>0</v>
      </c>
      <c r="S47" s="19">
        <f t="shared" si="0"/>
        <v>152126.91</v>
      </c>
    </row>
    <row r="48" spans="1:19" x14ac:dyDescent="0.45">
      <c r="A48" s="4">
        <v>45836</v>
      </c>
      <c r="B48" s="4">
        <v>45840</v>
      </c>
      <c r="C48" s="5" t="s">
        <v>316</v>
      </c>
      <c r="D48" s="9" t="s">
        <v>323</v>
      </c>
      <c r="E48" s="5" t="s">
        <v>67</v>
      </c>
      <c r="F48" s="5" t="s">
        <v>29</v>
      </c>
      <c r="G48" s="5" t="s">
        <v>41</v>
      </c>
      <c r="H48" s="5" t="s">
        <v>146</v>
      </c>
      <c r="I48" s="9">
        <v>5</v>
      </c>
      <c r="J48" s="9">
        <v>17.5</v>
      </c>
      <c r="K48" s="7">
        <v>87.5</v>
      </c>
      <c r="L48" s="9">
        <v>144.47999999999999</v>
      </c>
      <c r="M48" s="9">
        <v>0.39</v>
      </c>
      <c r="N48" s="25">
        <v>0.03</v>
      </c>
      <c r="O48" s="7">
        <v>87.08</v>
      </c>
      <c r="P48" s="7" t="s">
        <v>355</v>
      </c>
      <c r="Q48" s="12">
        <v>2.4</v>
      </c>
      <c r="R48" s="9">
        <v>0</v>
      </c>
      <c r="S48" s="19">
        <f t="shared" si="0"/>
        <v>346.75199999999995</v>
      </c>
    </row>
    <row r="49" spans="1:19" x14ac:dyDescent="0.45">
      <c r="A49" s="4">
        <v>45946</v>
      </c>
      <c r="B49" s="4">
        <v>45950</v>
      </c>
      <c r="C49" s="5" t="s">
        <v>319</v>
      </c>
      <c r="D49" s="9" t="s">
        <v>322</v>
      </c>
      <c r="E49" s="5" t="s">
        <v>67</v>
      </c>
      <c r="F49" s="5" t="s">
        <v>29</v>
      </c>
      <c r="G49" s="5" t="s">
        <v>41</v>
      </c>
      <c r="H49" s="5" t="s">
        <v>135</v>
      </c>
      <c r="I49" s="9">
        <v>34</v>
      </c>
      <c r="J49" s="9">
        <v>8.9700000000000006</v>
      </c>
      <c r="K49" s="7">
        <v>304.98</v>
      </c>
      <c r="L49" s="9">
        <v>150.54</v>
      </c>
      <c r="M49" s="9">
        <v>1.37</v>
      </c>
      <c r="N49" s="9">
        <v>0.14000000000000001</v>
      </c>
      <c r="O49" s="9" t="s">
        <v>378</v>
      </c>
      <c r="P49" s="19">
        <v>45684</v>
      </c>
      <c r="Q49" s="9">
        <v>0</v>
      </c>
      <c r="R49" s="9">
        <v>838</v>
      </c>
      <c r="S49" s="19">
        <f t="shared" si="0"/>
        <v>838</v>
      </c>
    </row>
    <row r="50" spans="1:19" x14ac:dyDescent="0.45">
      <c r="A50" s="4">
        <v>45946</v>
      </c>
      <c r="B50" s="4">
        <v>45950</v>
      </c>
      <c r="C50" s="5" t="s">
        <v>319</v>
      </c>
      <c r="D50" s="9" t="s">
        <v>322</v>
      </c>
      <c r="E50" s="5" t="s">
        <v>67</v>
      </c>
      <c r="F50" s="5" t="s">
        <v>29</v>
      </c>
      <c r="G50" s="5" t="s">
        <v>41</v>
      </c>
      <c r="H50" s="5" t="s">
        <v>135</v>
      </c>
      <c r="I50" s="9">
        <v>6</v>
      </c>
      <c r="J50" s="9">
        <v>8.9700000000000006</v>
      </c>
      <c r="K50" s="7">
        <v>53.82</v>
      </c>
      <c r="L50" s="9">
        <v>150.54</v>
      </c>
      <c r="M50" s="9">
        <v>0.24</v>
      </c>
      <c r="N50" s="9">
        <v>0.02</v>
      </c>
      <c r="O50" s="9" t="s">
        <v>378</v>
      </c>
      <c r="P50" s="19">
        <v>8063</v>
      </c>
      <c r="Q50" s="9">
        <v>0</v>
      </c>
      <c r="R50" s="9">
        <v>149</v>
      </c>
      <c r="S50" s="19">
        <f t="shared" si="0"/>
        <v>149</v>
      </c>
    </row>
    <row r="51" spans="1:19" x14ac:dyDescent="0.45">
      <c r="A51" s="4">
        <v>45958</v>
      </c>
      <c r="B51" s="4">
        <v>45960</v>
      </c>
      <c r="C51" s="5" t="s">
        <v>55</v>
      </c>
      <c r="D51" s="9" t="s">
        <v>56</v>
      </c>
      <c r="E51" s="5" t="s">
        <v>28</v>
      </c>
      <c r="F51" s="5" t="s">
        <v>29</v>
      </c>
      <c r="G51" s="5" t="s">
        <v>41</v>
      </c>
      <c r="H51" s="5" t="s">
        <v>135</v>
      </c>
      <c r="I51" s="9">
        <v>15</v>
      </c>
      <c r="J51" s="9">
        <v>69.37</v>
      </c>
      <c r="K51" s="7">
        <v>1040.55</v>
      </c>
      <c r="L51" s="9">
        <v>152.26</v>
      </c>
      <c r="M51" s="9">
        <v>4.68</v>
      </c>
      <c r="N51" s="9">
        <v>0.46</v>
      </c>
      <c r="O51" s="9" t="s">
        <v>384</v>
      </c>
      <c r="P51" s="19">
        <v>45684</v>
      </c>
      <c r="Q51" s="9">
        <v>0</v>
      </c>
      <c r="R51" s="21">
        <v>79096</v>
      </c>
      <c r="S51" s="19">
        <f t="shared" si="0"/>
        <v>79096</v>
      </c>
    </row>
    <row r="52" spans="1:19" x14ac:dyDescent="0.45">
      <c r="A52" s="4">
        <v>46010</v>
      </c>
      <c r="B52" s="4">
        <v>46014</v>
      </c>
      <c r="C52" s="5" t="s">
        <v>329</v>
      </c>
      <c r="D52" s="9" t="s">
        <v>328</v>
      </c>
      <c r="E52" s="5" t="s">
        <v>67</v>
      </c>
      <c r="F52" s="5" t="s">
        <v>29</v>
      </c>
      <c r="G52" s="5" t="s">
        <v>41</v>
      </c>
      <c r="H52" s="5" t="s">
        <v>146</v>
      </c>
      <c r="I52" s="9">
        <v>39</v>
      </c>
      <c r="J52" s="9">
        <v>41.97</v>
      </c>
      <c r="K52" s="7">
        <v>1636.83</v>
      </c>
      <c r="L52" s="9">
        <v>155.55000000000001</v>
      </c>
      <c r="M52" s="9">
        <v>7.36</v>
      </c>
      <c r="N52" s="9">
        <v>0.73</v>
      </c>
      <c r="O52" s="7">
        <v>1628.74</v>
      </c>
      <c r="P52" s="9" t="s">
        <v>409</v>
      </c>
      <c r="Q52" s="12">
        <v>267.2</v>
      </c>
      <c r="R52" s="9">
        <v>0</v>
      </c>
      <c r="S52" s="19">
        <f t="shared" si="0"/>
        <v>41562.959999999999</v>
      </c>
    </row>
    <row r="53" spans="1:19" x14ac:dyDescent="0.45">
      <c r="A53" s="4">
        <v>46035</v>
      </c>
      <c r="B53" s="4">
        <v>46037</v>
      </c>
      <c r="C53" s="5" t="s">
        <v>329</v>
      </c>
      <c r="D53" s="9" t="s">
        <v>328</v>
      </c>
      <c r="E53" s="5" t="s">
        <v>67</v>
      </c>
      <c r="F53" s="5" t="s">
        <v>29</v>
      </c>
      <c r="G53" s="5" t="s">
        <v>30</v>
      </c>
      <c r="H53" s="5" t="s">
        <v>146</v>
      </c>
      <c r="I53" s="9">
        <v>20</v>
      </c>
      <c r="J53" s="9">
        <v>43.204999999999998</v>
      </c>
      <c r="K53" s="7">
        <v>864.1</v>
      </c>
      <c r="L53" s="9">
        <v>158.19</v>
      </c>
      <c r="M53" s="9">
        <v>3.88</v>
      </c>
      <c r="N53" s="9">
        <v>0.38</v>
      </c>
      <c r="O53" s="9">
        <v>868.36</v>
      </c>
      <c r="P53" s="9" t="s">
        <v>428</v>
      </c>
      <c r="Q53" s="9">
        <v>0</v>
      </c>
      <c r="R53" s="9">
        <v>0</v>
      </c>
      <c r="S53" s="19">
        <f t="shared" si="0"/>
        <v>0</v>
      </c>
    </row>
    <row r="54" spans="1:19" x14ac:dyDescent="0.45">
      <c r="A54" s="4">
        <v>46035</v>
      </c>
      <c r="B54" s="4">
        <v>46037</v>
      </c>
      <c r="C54" s="5" t="s">
        <v>426</v>
      </c>
      <c r="D54" s="9" t="s">
        <v>427</v>
      </c>
      <c r="E54" s="5" t="s">
        <v>67</v>
      </c>
      <c r="F54" s="5" t="s">
        <v>29</v>
      </c>
      <c r="G54" s="5" t="s">
        <v>30</v>
      </c>
      <c r="H54" s="5" t="s">
        <v>146</v>
      </c>
      <c r="I54" s="9">
        <v>40</v>
      </c>
      <c r="J54" s="9">
        <v>19.14</v>
      </c>
      <c r="K54" s="7">
        <v>765.6</v>
      </c>
      <c r="L54" s="9">
        <v>158.36000000000001</v>
      </c>
      <c r="M54" s="9">
        <v>3.44</v>
      </c>
      <c r="N54" s="9">
        <v>0.34</v>
      </c>
      <c r="O54" s="9">
        <v>769.38</v>
      </c>
      <c r="P54" s="9" t="s">
        <v>428</v>
      </c>
      <c r="Q54" s="9">
        <v>0</v>
      </c>
      <c r="R54" s="9">
        <v>0</v>
      </c>
      <c r="S54" s="19">
        <f t="shared" si="0"/>
        <v>0</v>
      </c>
    </row>
    <row r="55" spans="1:19" x14ac:dyDescent="0.45">
      <c r="A55" s="4">
        <v>46041</v>
      </c>
      <c r="B55" s="4">
        <v>46043</v>
      </c>
      <c r="C55" s="5" t="s">
        <v>432</v>
      </c>
      <c r="D55" s="9" t="s">
        <v>433</v>
      </c>
      <c r="E55" s="5" t="s">
        <v>67</v>
      </c>
      <c r="F55" s="5" t="s">
        <v>29</v>
      </c>
      <c r="G55" s="5" t="s">
        <v>30</v>
      </c>
      <c r="H55" s="5" t="s">
        <v>135</v>
      </c>
      <c r="I55" s="9">
        <v>100</v>
      </c>
      <c r="J55" s="9">
        <v>12.4171</v>
      </c>
      <c r="K55" s="7">
        <v>1241.71</v>
      </c>
      <c r="L55" s="9">
        <v>157.85</v>
      </c>
      <c r="M55" s="9">
        <v>5.58</v>
      </c>
      <c r="N55" s="9">
        <v>0.55000000000000004</v>
      </c>
      <c r="O55" s="7" t="s">
        <v>434</v>
      </c>
      <c r="P55" s="21">
        <v>196971</v>
      </c>
      <c r="Q55" s="9">
        <v>0</v>
      </c>
      <c r="R55" s="9">
        <v>0</v>
      </c>
      <c r="S55" s="21">
        <f t="shared" si="0"/>
        <v>0</v>
      </c>
    </row>
    <row r="56" spans="1:19" x14ac:dyDescent="0.45">
      <c r="A56" s="4">
        <v>46052</v>
      </c>
      <c r="B56" s="4">
        <v>46057</v>
      </c>
      <c r="C56" s="5" t="s">
        <v>234</v>
      </c>
      <c r="D56" s="9" t="s">
        <v>235</v>
      </c>
      <c r="E56" s="5" t="s">
        <v>67</v>
      </c>
      <c r="F56" s="5" t="s">
        <v>29</v>
      </c>
      <c r="G56" s="5" t="s">
        <v>41</v>
      </c>
      <c r="H56" s="5" t="s">
        <v>146</v>
      </c>
      <c r="I56" s="9">
        <v>25</v>
      </c>
      <c r="J56" s="9">
        <v>100.97499999999999</v>
      </c>
      <c r="K56" s="7">
        <v>2524.37</v>
      </c>
      <c r="L56" s="9">
        <v>154.12</v>
      </c>
      <c r="M56" s="9">
        <v>11.35</v>
      </c>
      <c r="N56" s="9">
        <v>1.1299999999999999</v>
      </c>
      <c r="O56" s="7">
        <v>2511.9</v>
      </c>
      <c r="P56" s="9" t="s">
        <v>437</v>
      </c>
      <c r="Q56" s="9">
        <v>1481.75</v>
      </c>
      <c r="R56" s="9">
        <v>0</v>
      </c>
      <c r="S56" s="19">
        <f>IF(H56="USD",Q56*L56,R56)</f>
        <v>228367.31</v>
      </c>
    </row>
    <row r="57" spans="1:19" x14ac:dyDescent="0.45">
      <c r="A57" s="4">
        <v>46052</v>
      </c>
      <c r="B57" s="4">
        <v>46057</v>
      </c>
      <c r="C57" s="5" t="s">
        <v>432</v>
      </c>
      <c r="D57" s="9" t="s">
        <v>433</v>
      </c>
      <c r="E57" s="5" t="s">
        <v>67</v>
      </c>
      <c r="F57" s="5" t="s">
        <v>29</v>
      </c>
      <c r="G57" s="5" t="s">
        <v>41</v>
      </c>
      <c r="H57" s="5" t="s">
        <v>146</v>
      </c>
      <c r="I57" s="9">
        <v>100</v>
      </c>
      <c r="J57" s="9">
        <v>13.0701</v>
      </c>
      <c r="K57" s="7">
        <v>1307.01</v>
      </c>
      <c r="L57" s="9">
        <v>154.12</v>
      </c>
      <c r="M57" s="9">
        <v>5.88</v>
      </c>
      <c r="N57" s="9">
        <v>0.57999999999999996</v>
      </c>
      <c r="O57" s="7">
        <v>1300.55</v>
      </c>
      <c r="P57" s="9" t="s">
        <v>437</v>
      </c>
      <c r="Q57" s="9">
        <v>0.08</v>
      </c>
      <c r="R57" s="9">
        <v>0</v>
      </c>
      <c r="S57" s="19">
        <f t="shared" si="0"/>
        <v>12.329600000000001</v>
      </c>
    </row>
    <row r="58" spans="1:19" x14ac:dyDescent="0.45">
      <c r="A58" s="4">
        <v>46052</v>
      </c>
      <c r="B58" s="4">
        <v>46057</v>
      </c>
      <c r="C58" s="5" t="s">
        <v>329</v>
      </c>
      <c r="D58" s="9" t="s">
        <v>328</v>
      </c>
      <c r="E58" s="5" t="s">
        <v>67</v>
      </c>
      <c r="F58" s="5" t="s">
        <v>29</v>
      </c>
      <c r="G58" s="5" t="s">
        <v>41</v>
      </c>
      <c r="H58" s="5" t="s">
        <v>146</v>
      </c>
      <c r="I58" s="9">
        <v>20</v>
      </c>
      <c r="J58" s="9">
        <v>43.421999999999997</v>
      </c>
      <c r="K58" s="7">
        <v>868.44</v>
      </c>
      <c r="L58" s="9">
        <v>154.12</v>
      </c>
      <c r="M58" s="9">
        <v>3.9</v>
      </c>
      <c r="N58" s="9">
        <v>0.39</v>
      </c>
      <c r="O58" s="7">
        <v>864.15</v>
      </c>
      <c r="P58" s="9" t="s">
        <v>437</v>
      </c>
      <c r="Q58" s="9">
        <v>59.17</v>
      </c>
      <c r="R58" s="9">
        <v>0</v>
      </c>
      <c r="S58" s="19">
        <f t="shared" si="0"/>
        <v>9119.2803999999996</v>
      </c>
    </row>
  </sheetData>
  <autoFilter ref="A1:S1" xr:uid="{00000000-0001-0000-0500-000000000000}"/>
  <phoneticPr fontId="18"/>
  <pageMargins left="0.7" right="0.7" top="0.75" bottom="0.75" header="0.3" footer="0.3"/>
  <pageSetup paperSize="9" scale="22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K74"/>
  <sheetViews>
    <sheetView zoomScaleNormal="100" workbookViewId="0">
      <pane ySplit="1" topLeftCell="A59" activePane="bottomLeft" state="frozen"/>
      <selection pane="bottomLeft" activeCell="L2" sqref="L2"/>
    </sheetView>
  </sheetViews>
  <sheetFormatPr defaultRowHeight="18" x14ac:dyDescent="0.45"/>
  <cols>
    <col min="1" max="1" width="11.296875" style="1" bestFit="1" customWidth="1"/>
    <col min="2" max="2" width="9.296875" style="1" bestFit="1" customWidth="1"/>
    <col min="3" max="3" width="13" style="2" bestFit="1" customWidth="1"/>
    <col min="4" max="4" width="15.09765625" style="2" bestFit="1" customWidth="1"/>
    <col min="5" max="5" width="21.5" bestFit="1" customWidth="1"/>
    <col min="6" max="6" width="14.69921875" bestFit="1" customWidth="1"/>
    <col min="7" max="7" width="15.59765625" bestFit="1" customWidth="1"/>
    <col min="8" max="8" width="37.69921875" bestFit="1" customWidth="1"/>
    <col min="9" max="11" width="18.8984375" bestFit="1" customWidth="1"/>
  </cols>
  <sheetData>
    <row r="1" spans="1:11" s="2" customFormat="1" x14ac:dyDescent="0.45">
      <c r="A1" s="16" t="s">
        <v>46</v>
      </c>
      <c r="B1" s="16" t="s">
        <v>47</v>
      </c>
      <c r="C1" s="17" t="s">
        <v>52</v>
      </c>
      <c r="D1" s="16" t="s">
        <v>2</v>
      </c>
      <c r="E1" s="18" t="s">
        <v>48</v>
      </c>
      <c r="F1" s="16" t="s">
        <v>61</v>
      </c>
      <c r="G1" s="16" t="s">
        <v>49</v>
      </c>
      <c r="H1" s="16" t="s">
        <v>62</v>
      </c>
      <c r="I1" s="16" t="s">
        <v>63</v>
      </c>
      <c r="J1" s="16" t="s">
        <v>64</v>
      </c>
      <c r="K1" s="13" t="s">
        <v>171</v>
      </c>
    </row>
    <row r="2" spans="1:11" x14ac:dyDescent="0.45">
      <c r="A2" s="4">
        <v>44291</v>
      </c>
      <c r="B2" s="5" t="s">
        <v>82</v>
      </c>
      <c r="C2" s="10" t="s">
        <v>28</v>
      </c>
      <c r="D2" s="5" t="s">
        <v>55</v>
      </c>
      <c r="E2" s="11" t="s">
        <v>56</v>
      </c>
      <c r="F2" s="9">
        <v>0.42</v>
      </c>
      <c r="G2" s="9">
        <v>15</v>
      </c>
      <c r="H2" s="12">
        <v>6.3</v>
      </c>
      <c r="I2" s="29">
        <f t="shared" ref="I2:I31" si="0">H2-J2</f>
        <v>0.62999999999999989</v>
      </c>
      <c r="J2" s="9">
        <v>5.67</v>
      </c>
      <c r="K2" s="9">
        <f>J2</f>
        <v>5.67</v>
      </c>
    </row>
    <row r="3" spans="1:11" x14ac:dyDescent="0.45">
      <c r="A3" s="4">
        <v>44382</v>
      </c>
      <c r="B3" s="5" t="s">
        <v>82</v>
      </c>
      <c r="C3" s="10" t="s">
        <v>28</v>
      </c>
      <c r="D3" s="5" t="s">
        <v>55</v>
      </c>
      <c r="E3" s="11" t="s">
        <v>56</v>
      </c>
      <c r="F3" s="9">
        <v>0.42</v>
      </c>
      <c r="G3" s="9">
        <v>15</v>
      </c>
      <c r="H3" s="12">
        <v>6.3</v>
      </c>
      <c r="I3" s="29">
        <f t="shared" si="0"/>
        <v>0.62999999999999989</v>
      </c>
      <c r="J3" s="9">
        <v>5.67</v>
      </c>
      <c r="K3" s="9">
        <f t="shared" ref="K3:K39" si="1">J3</f>
        <v>5.67</v>
      </c>
    </row>
    <row r="4" spans="1:11" x14ac:dyDescent="0.45">
      <c r="A4" s="4">
        <v>44474</v>
      </c>
      <c r="B4" s="5" t="s">
        <v>82</v>
      </c>
      <c r="C4" s="10" t="s">
        <v>28</v>
      </c>
      <c r="D4" s="5" t="s">
        <v>55</v>
      </c>
      <c r="E4" s="11" t="s">
        <v>56</v>
      </c>
      <c r="F4" s="9">
        <v>0.42</v>
      </c>
      <c r="G4" s="9">
        <v>15</v>
      </c>
      <c r="H4" s="12">
        <v>6.3</v>
      </c>
      <c r="I4" s="29">
        <f t="shared" si="0"/>
        <v>0.62999999999999989</v>
      </c>
      <c r="J4" s="9">
        <v>5.67</v>
      </c>
      <c r="K4" s="9">
        <f t="shared" si="1"/>
        <v>5.67</v>
      </c>
    </row>
    <row r="5" spans="1:11" x14ac:dyDescent="0.45">
      <c r="A5" s="4">
        <v>44547</v>
      </c>
      <c r="B5" s="5" t="s">
        <v>82</v>
      </c>
      <c r="C5" s="10" t="s">
        <v>28</v>
      </c>
      <c r="D5" s="5" t="s">
        <v>55</v>
      </c>
      <c r="E5" s="11" t="s">
        <v>56</v>
      </c>
      <c r="F5" s="9">
        <v>0.42</v>
      </c>
      <c r="G5" s="9">
        <v>15</v>
      </c>
      <c r="H5" s="12">
        <v>6.3</v>
      </c>
      <c r="I5" s="29">
        <f t="shared" si="0"/>
        <v>0.62999999999999989</v>
      </c>
      <c r="J5" s="9">
        <v>5.67</v>
      </c>
      <c r="K5" s="9">
        <f t="shared" si="1"/>
        <v>5.67</v>
      </c>
    </row>
    <row r="6" spans="1:11" x14ac:dyDescent="0.45">
      <c r="A6" s="4">
        <v>44630</v>
      </c>
      <c r="B6" s="5" t="s">
        <v>82</v>
      </c>
      <c r="C6" s="10" t="s">
        <v>28</v>
      </c>
      <c r="D6" s="5" t="s">
        <v>59</v>
      </c>
      <c r="E6" s="11" t="s">
        <v>60</v>
      </c>
      <c r="F6" s="9">
        <v>1.06</v>
      </c>
      <c r="G6" s="9">
        <v>10</v>
      </c>
      <c r="H6" s="12">
        <v>10.6</v>
      </c>
      <c r="I6" s="29">
        <f t="shared" si="0"/>
        <v>1.0600000000000005</v>
      </c>
      <c r="J6" s="9">
        <v>9.5399999999999991</v>
      </c>
      <c r="K6" s="9">
        <f t="shared" si="1"/>
        <v>9.5399999999999991</v>
      </c>
    </row>
    <row r="7" spans="1:11" x14ac:dyDescent="0.45">
      <c r="A7" s="4">
        <v>44634</v>
      </c>
      <c r="B7" s="5" t="s">
        <v>82</v>
      </c>
      <c r="C7" s="10" t="s">
        <v>28</v>
      </c>
      <c r="D7" s="5" t="s">
        <v>57</v>
      </c>
      <c r="E7" s="11" t="s">
        <v>58</v>
      </c>
      <c r="F7" s="9">
        <v>0.88</v>
      </c>
      <c r="G7" s="9">
        <v>23</v>
      </c>
      <c r="H7" s="12">
        <v>20.239999999999998</v>
      </c>
      <c r="I7" s="29">
        <f t="shared" si="0"/>
        <v>2.0199999999999996</v>
      </c>
      <c r="J7" s="9">
        <v>18.22</v>
      </c>
      <c r="K7" s="9">
        <f t="shared" si="1"/>
        <v>18.22</v>
      </c>
    </row>
    <row r="8" spans="1:11" x14ac:dyDescent="0.45">
      <c r="A8" s="4">
        <v>44645</v>
      </c>
      <c r="B8" s="5" t="s">
        <v>82</v>
      </c>
      <c r="C8" s="10" t="s">
        <v>28</v>
      </c>
      <c r="D8" s="5" t="s">
        <v>53</v>
      </c>
      <c r="E8" s="11" t="s">
        <v>54</v>
      </c>
      <c r="F8" s="9">
        <v>0.65271000000000001</v>
      </c>
      <c r="G8" s="9">
        <v>1</v>
      </c>
      <c r="H8" s="12">
        <v>0.65</v>
      </c>
      <c r="I8" s="29">
        <f t="shared" si="0"/>
        <v>7.0000000000000062E-2</v>
      </c>
      <c r="J8" s="9">
        <v>0.57999999999999996</v>
      </c>
      <c r="K8" s="9">
        <f t="shared" si="1"/>
        <v>0.57999999999999996</v>
      </c>
    </row>
    <row r="9" spans="1:11" x14ac:dyDescent="0.45">
      <c r="A9" s="4">
        <v>44656</v>
      </c>
      <c r="B9" s="5" t="s">
        <v>82</v>
      </c>
      <c r="C9" s="10" t="s">
        <v>28</v>
      </c>
      <c r="D9" s="5" t="s">
        <v>55</v>
      </c>
      <c r="E9" s="11" t="s">
        <v>56</v>
      </c>
      <c r="F9" s="9">
        <v>0.44</v>
      </c>
      <c r="G9" s="9">
        <v>15</v>
      </c>
      <c r="H9" s="12">
        <v>6.6</v>
      </c>
      <c r="I9" s="29">
        <f t="shared" si="0"/>
        <v>0.65999999999999925</v>
      </c>
      <c r="J9" s="9">
        <v>5.94</v>
      </c>
      <c r="K9" s="9">
        <f t="shared" si="1"/>
        <v>5.94</v>
      </c>
    </row>
    <row r="10" spans="1:11" x14ac:dyDescent="0.45">
      <c r="A10" s="4">
        <v>44721</v>
      </c>
      <c r="B10" s="5" t="s">
        <v>82</v>
      </c>
      <c r="C10" s="10" t="s">
        <v>28</v>
      </c>
      <c r="D10" s="5" t="s">
        <v>59</v>
      </c>
      <c r="E10" s="11" t="s">
        <v>60</v>
      </c>
      <c r="F10" s="9">
        <v>1.1299999999999999</v>
      </c>
      <c r="G10" s="9">
        <v>10</v>
      </c>
      <c r="H10" s="12">
        <v>11.3</v>
      </c>
      <c r="I10" s="29">
        <f t="shared" si="0"/>
        <v>1.1300000000000008</v>
      </c>
      <c r="J10" s="9">
        <v>10.17</v>
      </c>
      <c r="K10" s="9">
        <f>J10</f>
        <v>10.17</v>
      </c>
    </row>
    <row r="11" spans="1:11" x14ac:dyDescent="0.45">
      <c r="A11" s="4">
        <v>44727</v>
      </c>
      <c r="B11" s="5" t="s">
        <v>82</v>
      </c>
      <c r="C11" s="10" t="s">
        <v>28</v>
      </c>
      <c r="D11" s="5" t="s">
        <v>57</v>
      </c>
      <c r="E11" s="11" t="s">
        <v>58</v>
      </c>
      <c r="F11" s="9">
        <v>0.88</v>
      </c>
      <c r="G11" s="9">
        <v>23</v>
      </c>
      <c r="H11" s="12">
        <v>20.239999999999998</v>
      </c>
      <c r="I11" s="29">
        <f t="shared" si="0"/>
        <v>2.0199999999999996</v>
      </c>
      <c r="J11" s="9">
        <v>18.22</v>
      </c>
      <c r="K11" s="9">
        <f t="shared" si="1"/>
        <v>18.22</v>
      </c>
    </row>
    <row r="12" spans="1:11" x14ac:dyDescent="0.45">
      <c r="A12" s="4">
        <v>44739</v>
      </c>
      <c r="B12" s="5" t="s">
        <v>82</v>
      </c>
      <c r="C12" s="10" t="s">
        <v>28</v>
      </c>
      <c r="D12" s="5" t="s">
        <v>53</v>
      </c>
      <c r="E12" s="11" t="s">
        <v>54</v>
      </c>
      <c r="F12" s="9">
        <v>0.40499000000000002</v>
      </c>
      <c r="G12" s="9">
        <v>1</v>
      </c>
      <c r="H12" s="12">
        <v>0.4</v>
      </c>
      <c r="I12" s="29">
        <f t="shared" si="0"/>
        <v>4.0000000000000036E-2</v>
      </c>
      <c r="J12" s="9">
        <v>0.36</v>
      </c>
      <c r="K12" s="9">
        <f t="shared" si="1"/>
        <v>0.36</v>
      </c>
    </row>
    <row r="13" spans="1:11" x14ac:dyDescent="0.45">
      <c r="A13" s="4">
        <v>44747</v>
      </c>
      <c r="B13" s="5" t="s">
        <v>82</v>
      </c>
      <c r="C13" s="10" t="s">
        <v>28</v>
      </c>
      <c r="D13" s="5" t="s">
        <v>55</v>
      </c>
      <c r="E13" s="11" t="s">
        <v>56</v>
      </c>
      <c r="F13" s="9">
        <v>0.44</v>
      </c>
      <c r="G13" s="9">
        <v>15</v>
      </c>
      <c r="H13" s="12">
        <v>6.6</v>
      </c>
      <c r="I13" s="29">
        <f t="shared" si="0"/>
        <v>0.65999999999999925</v>
      </c>
      <c r="J13" s="9">
        <v>5.94</v>
      </c>
      <c r="K13" s="9">
        <f t="shared" si="1"/>
        <v>5.94</v>
      </c>
    </row>
    <row r="14" spans="1:11" x14ac:dyDescent="0.45">
      <c r="A14" s="4">
        <v>44813</v>
      </c>
      <c r="B14" s="5" t="s">
        <v>82</v>
      </c>
      <c r="C14" s="10" t="s">
        <v>28</v>
      </c>
      <c r="D14" s="5" t="s">
        <v>59</v>
      </c>
      <c r="E14" s="11" t="s">
        <v>60</v>
      </c>
      <c r="F14" s="9">
        <v>1.1299999999999999</v>
      </c>
      <c r="G14" s="9">
        <v>10</v>
      </c>
      <c r="H14" s="12">
        <v>11.3</v>
      </c>
      <c r="I14" s="29">
        <f t="shared" si="0"/>
        <v>1.1300000000000008</v>
      </c>
      <c r="J14" s="9">
        <v>10.17</v>
      </c>
      <c r="K14" s="9">
        <f>J14</f>
        <v>10.17</v>
      </c>
    </row>
    <row r="15" spans="1:11" x14ac:dyDescent="0.45">
      <c r="A15" s="4">
        <v>44817</v>
      </c>
      <c r="B15" s="5" t="s">
        <v>82</v>
      </c>
      <c r="C15" s="10" t="s">
        <v>28</v>
      </c>
      <c r="D15" s="5" t="s">
        <v>57</v>
      </c>
      <c r="E15" s="11" t="s">
        <v>58</v>
      </c>
      <c r="F15" s="9">
        <v>0.88</v>
      </c>
      <c r="G15" s="9">
        <v>23</v>
      </c>
      <c r="H15" s="12">
        <v>20.239999999999998</v>
      </c>
      <c r="I15" s="29">
        <f t="shared" si="0"/>
        <v>2.0199999999999996</v>
      </c>
      <c r="J15" s="9">
        <v>18.22</v>
      </c>
      <c r="K15" s="9">
        <f t="shared" si="1"/>
        <v>18.22</v>
      </c>
    </row>
    <row r="16" spans="1:11" x14ac:dyDescent="0.45">
      <c r="A16" s="4">
        <v>44830</v>
      </c>
      <c r="B16" s="5" t="s">
        <v>82</v>
      </c>
      <c r="C16" s="10" t="s">
        <v>28</v>
      </c>
      <c r="D16" s="5" t="s">
        <v>53</v>
      </c>
      <c r="E16" s="11" t="s">
        <v>54</v>
      </c>
      <c r="F16" s="9">
        <v>0.41837999999999997</v>
      </c>
      <c r="G16" s="9">
        <v>1</v>
      </c>
      <c r="H16" s="12">
        <v>0.42</v>
      </c>
      <c r="I16" s="29">
        <f t="shared" si="0"/>
        <v>3.999999999999998E-2</v>
      </c>
      <c r="J16" s="9">
        <v>0.38</v>
      </c>
      <c r="K16" s="9">
        <f t="shared" si="1"/>
        <v>0.38</v>
      </c>
    </row>
    <row r="17" spans="1:11" x14ac:dyDescent="0.45">
      <c r="A17" s="4">
        <v>44840</v>
      </c>
      <c r="B17" s="5" t="s">
        <v>82</v>
      </c>
      <c r="C17" s="10" t="s">
        <v>28</v>
      </c>
      <c r="D17" s="5" t="s">
        <v>55</v>
      </c>
      <c r="E17" s="11" t="s">
        <v>56</v>
      </c>
      <c r="F17" s="9">
        <v>0.44</v>
      </c>
      <c r="G17" s="9">
        <v>15</v>
      </c>
      <c r="H17" s="12">
        <v>6.6</v>
      </c>
      <c r="I17" s="29">
        <f t="shared" si="0"/>
        <v>0.65999999999999925</v>
      </c>
      <c r="J17" s="9">
        <v>5.94</v>
      </c>
      <c r="K17" s="9">
        <f t="shared" si="1"/>
        <v>5.94</v>
      </c>
    </row>
    <row r="18" spans="1:11" x14ac:dyDescent="0.45">
      <c r="A18" s="4">
        <v>44903</v>
      </c>
      <c r="B18" s="5" t="s">
        <v>82</v>
      </c>
      <c r="C18" s="10" t="s">
        <v>28</v>
      </c>
      <c r="D18" s="5" t="s">
        <v>59</v>
      </c>
      <c r="E18" s="11" t="s">
        <v>60</v>
      </c>
      <c r="F18" s="9">
        <v>1.1299999999999999</v>
      </c>
      <c r="G18" s="9">
        <v>10</v>
      </c>
      <c r="H18" s="12">
        <v>11.3</v>
      </c>
      <c r="I18" s="29">
        <f t="shared" si="0"/>
        <v>1.1300000000000008</v>
      </c>
      <c r="J18" s="9">
        <v>10.17</v>
      </c>
      <c r="K18" s="9">
        <f t="shared" si="1"/>
        <v>10.17</v>
      </c>
    </row>
    <row r="19" spans="1:11" x14ac:dyDescent="0.45">
      <c r="A19" s="4">
        <v>44908</v>
      </c>
      <c r="B19" s="5" t="s">
        <v>82</v>
      </c>
      <c r="C19" s="10" t="s">
        <v>28</v>
      </c>
      <c r="D19" s="5" t="s">
        <v>57</v>
      </c>
      <c r="E19" s="11" t="s">
        <v>58</v>
      </c>
      <c r="F19" s="9">
        <v>0.91</v>
      </c>
      <c r="G19" s="9">
        <v>23</v>
      </c>
      <c r="H19" s="12">
        <v>20.93</v>
      </c>
      <c r="I19" s="29">
        <f t="shared" si="0"/>
        <v>2.09</v>
      </c>
      <c r="J19" s="9">
        <v>18.84</v>
      </c>
      <c r="K19" s="9">
        <f t="shared" si="1"/>
        <v>18.84</v>
      </c>
    </row>
    <row r="20" spans="1:11" x14ac:dyDescent="0.45">
      <c r="A20" s="4">
        <v>44909</v>
      </c>
      <c r="B20" s="5" t="s">
        <v>82</v>
      </c>
      <c r="C20" s="5" t="s">
        <v>68</v>
      </c>
      <c r="D20" s="5" t="s">
        <v>65</v>
      </c>
      <c r="E20" s="9" t="s">
        <v>66</v>
      </c>
      <c r="F20" s="9">
        <v>1.49</v>
      </c>
      <c r="G20" s="9">
        <v>10</v>
      </c>
      <c r="H20" s="12">
        <v>14.9</v>
      </c>
      <c r="I20" s="29">
        <f t="shared" si="0"/>
        <v>4.2000000000000011</v>
      </c>
      <c r="J20" s="12">
        <v>10.7</v>
      </c>
      <c r="K20" s="9">
        <f t="shared" si="1"/>
        <v>10.7</v>
      </c>
    </row>
    <row r="21" spans="1:11" x14ac:dyDescent="0.45">
      <c r="A21" s="4">
        <v>44915</v>
      </c>
      <c r="B21" s="5" t="s">
        <v>82</v>
      </c>
      <c r="C21" s="5" t="s">
        <v>28</v>
      </c>
      <c r="D21" s="5" t="s">
        <v>55</v>
      </c>
      <c r="E21" s="9" t="s">
        <v>56</v>
      </c>
      <c r="F21" s="9">
        <v>0.44</v>
      </c>
      <c r="G21" s="9">
        <v>15</v>
      </c>
      <c r="H21" s="12">
        <v>6.6</v>
      </c>
      <c r="I21" s="29">
        <f t="shared" si="0"/>
        <v>0.65999999999999925</v>
      </c>
      <c r="J21" s="9">
        <v>5.94</v>
      </c>
      <c r="K21" s="9">
        <f t="shared" si="1"/>
        <v>5.94</v>
      </c>
    </row>
    <row r="22" spans="1:11" x14ac:dyDescent="0.45">
      <c r="A22" s="4">
        <v>44918</v>
      </c>
      <c r="B22" s="5" t="s">
        <v>82</v>
      </c>
      <c r="C22" s="5" t="s">
        <v>28</v>
      </c>
      <c r="D22" s="5" t="s">
        <v>53</v>
      </c>
      <c r="E22" s="9" t="s">
        <v>54</v>
      </c>
      <c r="F22" s="9">
        <v>0.50726000000000004</v>
      </c>
      <c r="G22" s="9">
        <v>1</v>
      </c>
      <c r="H22" s="12">
        <v>0.51</v>
      </c>
      <c r="I22" s="29">
        <f t="shared" si="0"/>
        <v>4.9999999999999989E-2</v>
      </c>
      <c r="J22" s="9">
        <v>0.46</v>
      </c>
      <c r="K22" s="9">
        <f t="shared" si="1"/>
        <v>0.46</v>
      </c>
    </row>
    <row r="23" spans="1:11" x14ac:dyDescent="0.45">
      <c r="A23" s="4">
        <v>44918</v>
      </c>
      <c r="B23" s="5" t="s">
        <v>82</v>
      </c>
      <c r="C23" s="5" t="s">
        <v>68</v>
      </c>
      <c r="D23" s="5" t="s">
        <v>53</v>
      </c>
      <c r="E23" s="9" t="s">
        <v>54</v>
      </c>
      <c r="F23" s="9">
        <v>0.50726000000000004</v>
      </c>
      <c r="G23" s="9">
        <v>35</v>
      </c>
      <c r="H23" s="12">
        <v>17.75</v>
      </c>
      <c r="I23" s="29">
        <f t="shared" si="0"/>
        <v>5</v>
      </c>
      <c r="J23" s="9">
        <v>12.75</v>
      </c>
      <c r="K23" s="9">
        <f t="shared" si="1"/>
        <v>12.75</v>
      </c>
    </row>
    <row r="24" spans="1:11" x14ac:dyDescent="0.45">
      <c r="A24" s="4">
        <v>44930</v>
      </c>
      <c r="B24" s="5" t="s">
        <v>82</v>
      </c>
      <c r="C24" s="5" t="s">
        <v>68</v>
      </c>
      <c r="D24" s="5" t="s">
        <v>136</v>
      </c>
      <c r="E24" s="9" t="s">
        <v>137</v>
      </c>
      <c r="F24" s="9">
        <v>0.93049999999999999</v>
      </c>
      <c r="G24" s="9">
        <v>10</v>
      </c>
      <c r="H24" s="12">
        <v>9.31</v>
      </c>
      <c r="I24" s="29">
        <f t="shared" si="0"/>
        <v>2.6100000000000003</v>
      </c>
      <c r="J24" s="12">
        <v>6.7</v>
      </c>
      <c r="K24" s="9">
        <f t="shared" si="1"/>
        <v>6.7</v>
      </c>
    </row>
    <row r="25" spans="1:11" x14ac:dyDescent="0.45">
      <c r="A25" s="4">
        <v>44931</v>
      </c>
      <c r="B25" s="5" t="s">
        <v>82</v>
      </c>
      <c r="C25" s="5" t="s">
        <v>68</v>
      </c>
      <c r="D25" s="5" t="s">
        <v>173</v>
      </c>
      <c r="E25" s="9" t="s">
        <v>172</v>
      </c>
      <c r="F25" s="9">
        <v>0.21249999999999999</v>
      </c>
      <c r="G25" s="9">
        <v>30</v>
      </c>
      <c r="H25" s="12">
        <v>6.38</v>
      </c>
      <c r="I25" s="29">
        <f t="shared" si="0"/>
        <v>1.79</v>
      </c>
      <c r="J25" s="9">
        <v>4.59</v>
      </c>
      <c r="K25" s="9">
        <f t="shared" si="1"/>
        <v>4.59</v>
      </c>
    </row>
    <row r="26" spans="1:11" x14ac:dyDescent="0.45">
      <c r="A26" s="4">
        <v>44960</v>
      </c>
      <c r="B26" s="5" t="s">
        <v>82</v>
      </c>
      <c r="C26" s="5" t="s">
        <v>68</v>
      </c>
      <c r="D26" s="5" t="s">
        <v>140</v>
      </c>
      <c r="E26" s="9" t="s">
        <v>141</v>
      </c>
      <c r="F26" s="9">
        <v>1</v>
      </c>
      <c r="G26" s="9">
        <v>20</v>
      </c>
      <c r="H26" s="12">
        <v>20</v>
      </c>
      <c r="I26" s="29">
        <f t="shared" si="0"/>
        <v>5.6300000000000008</v>
      </c>
      <c r="J26" s="9">
        <v>14.37</v>
      </c>
      <c r="K26" s="9">
        <f t="shared" si="1"/>
        <v>14.37</v>
      </c>
    </row>
    <row r="27" spans="1:11" x14ac:dyDescent="0.45">
      <c r="A27" s="4">
        <v>44994</v>
      </c>
      <c r="B27" s="5" t="s">
        <v>82</v>
      </c>
      <c r="C27" s="5" t="s">
        <v>28</v>
      </c>
      <c r="D27" s="5" t="s">
        <v>59</v>
      </c>
      <c r="E27" s="9" t="s">
        <v>60</v>
      </c>
      <c r="F27" s="9">
        <v>1.1299999999999999</v>
      </c>
      <c r="G27" s="9">
        <v>10</v>
      </c>
      <c r="H27" s="12">
        <v>11.3</v>
      </c>
      <c r="I27" s="29">
        <f t="shared" si="0"/>
        <v>1.1300000000000008</v>
      </c>
      <c r="J27" s="9">
        <v>10.17</v>
      </c>
      <c r="K27" s="9">
        <f t="shared" si="1"/>
        <v>10.17</v>
      </c>
    </row>
    <row r="28" spans="1:11" x14ac:dyDescent="0.45">
      <c r="A28" s="4">
        <v>45000</v>
      </c>
      <c r="B28" s="5" t="s">
        <v>82</v>
      </c>
      <c r="C28" s="5" t="s">
        <v>68</v>
      </c>
      <c r="D28" s="5" t="s">
        <v>65</v>
      </c>
      <c r="E28" s="9" t="s">
        <v>66</v>
      </c>
      <c r="F28" s="9">
        <v>1.5</v>
      </c>
      <c r="G28" s="9">
        <v>10</v>
      </c>
      <c r="H28" s="12">
        <v>15</v>
      </c>
      <c r="I28" s="29">
        <f t="shared" si="0"/>
        <v>4.2300000000000004</v>
      </c>
      <c r="J28" s="9">
        <v>10.77</v>
      </c>
      <c r="K28" s="9">
        <f t="shared" si="1"/>
        <v>10.77</v>
      </c>
    </row>
    <row r="29" spans="1:11" x14ac:dyDescent="0.45">
      <c r="A29" s="4">
        <v>45009</v>
      </c>
      <c r="B29" s="5" t="s">
        <v>82</v>
      </c>
      <c r="C29" s="5" t="s">
        <v>68</v>
      </c>
      <c r="D29" s="5" t="s">
        <v>53</v>
      </c>
      <c r="E29" s="9" t="s">
        <v>54</v>
      </c>
      <c r="F29" s="9">
        <v>0.38741999999999999</v>
      </c>
      <c r="G29" s="9">
        <v>35</v>
      </c>
      <c r="H29" s="12">
        <v>13.56</v>
      </c>
      <c r="I29" s="29">
        <f t="shared" si="0"/>
        <v>3.8200000000000003</v>
      </c>
      <c r="J29" s="9">
        <v>9.74</v>
      </c>
      <c r="K29" s="9">
        <f t="shared" si="1"/>
        <v>9.74</v>
      </c>
    </row>
    <row r="30" spans="1:11" x14ac:dyDescent="0.45">
      <c r="A30" s="4">
        <v>45016</v>
      </c>
      <c r="B30" s="5" t="s">
        <v>82</v>
      </c>
      <c r="C30" s="5" t="s">
        <v>68</v>
      </c>
      <c r="D30" s="5" t="s">
        <v>136</v>
      </c>
      <c r="E30" s="9" t="s">
        <v>137</v>
      </c>
      <c r="F30" s="9">
        <v>0.78620000000000001</v>
      </c>
      <c r="G30" s="9">
        <v>10</v>
      </c>
      <c r="H30" s="9">
        <v>7.86</v>
      </c>
      <c r="I30" s="29">
        <f t="shared" si="0"/>
        <v>2.2000000000000002</v>
      </c>
      <c r="J30" s="9">
        <v>5.66</v>
      </c>
      <c r="K30" s="9">
        <f t="shared" si="1"/>
        <v>5.66</v>
      </c>
    </row>
    <row r="31" spans="1:11" x14ac:dyDescent="0.45">
      <c r="A31" s="4">
        <v>45020</v>
      </c>
      <c r="B31" s="5" t="s">
        <v>82</v>
      </c>
      <c r="C31" s="5" t="s">
        <v>68</v>
      </c>
      <c r="D31" s="5" t="s">
        <v>173</v>
      </c>
      <c r="E31" s="9" t="s">
        <v>172</v>
      </c>
      <c r="F31" s="9">
        <v>0.23749999999999999</v>
      </c>
      <c r="G31" s="9">
        <v>30</v>
      </c>
      <c r="H31" s="9">
        <v>7.13</v>
      </c>
      <c r="I31" s="29">
        <f t="shared" si="0"/>
        <v>2</v>
      </c>
      <c r="J31" s="9">
        <v>5.13</v>
      </c>
      <c r="K31" s="9">
        <f t="shared" si="1"/>
        <v>5.13</v>
      </c>
    </row>
    <row r="32" spans="1:11" x14ac:dyDescent="0.45">
      <c r="A32" s="4">
        <v>45021</v>
      </c>
      <c r="B32" s="5" t="s">
        <v>82</v>
      </c>
      <c r="C32" s="5" t="s">
        <v>28</v>
      </c>
      <c r="D32" s="5" t="s">
        <v>55</v>
      </c>
      <c r="E32" s="9" t="s">
        <v>56</v>
      </c>
      <c r="F32" s="9">
        <v>0.46</v>
      </c>
      <c r="G32" s="9">
        <v>15</v>
      </c>
      <c r="H32" s="12">
        <v>6.9</v>
      </c>
      <c r="I32" s="29">
        <f t="shared" ref="I32:I51" si="2">H32-J32</f>
        <v>0.69000000000000039</v>
      </c>
      <c r="J32" s="9">
        <v>6.21</v>
      </c>
      <c r="K32" s="9">
        <f t="shared" si="1"/>
        <v>6.21</v>
      </c>
    </row>
    <row r="33" spans="1:11" x14ac:dyDescent="0.45">
      <c r="A33" s="4">
        <v>45055</v>
      </c>
      <c r="B33" s="5" t="s">
        <v>82</v>
      </c>
      <c r="C33" s="5" t="s">
        <v>68</v>
      </c>
      <c r="D33" s="5" t="s">
        <v>140</v>
      </c>
      <c r="E33" s="9" t="s">
        <v>141</v>
      </c>
      <c r="F33" s="9">
        <v>1</v>
      </c>
      <c r="G33" s="9">
        <v>20</v>
      </c>
      <c r="H33" s="12">
        <v>20</v>
      </c>
      <c r="I33" s="29">
        <f t="shared" si="2"/>
        <v>5.6400000000000006</v>
      </c>
      <c r="J33" s="9">
        <v>14.36</v>
      </c>
      <c r="K33" s="9">
        <f t="shared" si="1"/>
        <v>14.36</v>
      </c>
    </row>
    <row r="34" spans="1:11" x14ac:dyDescent="0.45">
      <c r="A34" s="4">
        <v>45091</v>
      </c>
      <c r="B34" s="5" t="s">
        <v>82</v>
      </c>
      <c r="C34" s="5" t="s">
        <v>68</v>
      </c>
      <c r="D34" s="5" t="s">
        <v>65</v>
      </c>
      <c r="E34" s="9" t="s">
        <v>66</v>
      </c>
      <c r="F34" s="9">
        <v>1.5</v>
      </c>
      <c r="G34" s="9">
        <v>10</v>
      </c>
      <c r="H34" s="12">
        <v>15</v>
      </c>
      <c r="I34" s="29">
        <f t="shared" si="2"/>
        <v>4.2300000000000004</v>
      </c>
      <c r="J34" s="9">
        <v>10.77</v>
      </c>
      <c r="K34" s="9">
        <f t="shared" si="1"/>
        <v>10.77</v>
      </c>
    </row>
    <row r="35" spans="1:11" x14ac:dyDescent="0.45">
      <c r="A35" s="4">
        <v>45104</v>
      </c>
      <c r="B35" s="5" t="s">
        <v>82</v>
      </c>
      <c r="C35" s="5" t="s">
        <v>68</v>
      </c>
      <c r="D35" s="5" t="s">
        <v>53</v>
      </c>
      <c r="E35" s="9" t="s">
        <v>54</v>
      </c>
      <c r="F35" s="9">
        <v>0.46539000000000003</v>
      </c>
      <c r="G35" s="9">
        <v>35</v>
      </c>
      <c r="H35" s="12">
        <v>16.29</v>
      </c>
      <c r="I35" s="29">
        <f t="shared" si="2"/>
        <v>4.5999999999999996</v>
      </c>
      <c r="J35" s="9">
        <v>11.69</v>
      </c>
      <c r="K35" s="9">
        <f t="shared" si="1"/>
        <v>11.69</v>
      </c>
    </row>
    <row r="36" spans="1:11" x14ac:dyDescent="0.45">
      <c r="A36" s="4">
        <v>45110</v>
      </c>
      <c r="B36" s="5" t="s">
        <v>82</v>
      </c>
      <c r="C36" s="5" t="s">
        <v>68</v>
      </c>
      <c r="D36" s="5" t="s">
        <v>136</v>
      </c>
      <c r="E36" s="9" t="s">
        <v>137</v>
      </c>
      <c r="F36" s="9">
        <v>0.82650000000000001</v>
      </c>
      <c r="G36" s="9">
        <v>10</v>
      </c>
      <c r="H36" s="12">
        <v>8.27</v>
      </c>
      <c r="I36" s="29">
        <f t="shared" si="2"/>
        <v>2.3299999999999992</v>
      </c>
      <c r="J36" s="9">
        <v>5.94</v>
      </c>
      <c r="K36" s="9">
        <f t="shared" si="1"/>
        <v>5.94</v>
      </c>
    </row>
    <row r="37" spans="1:11" x14ac:dyDescent="0.45">
      <c r="A37" s="4">
        <v>45110</v>
      </c>
      <c r="B37" s="5" t="s">
        <v>82</v>
      </c>
      <c r="C37" s="5" t="s">
        <v>68</v>
      </c>
      <c r="D37" s="5" t="s">
        <v>144</v>
      </c>
      <c r="E37" s="9" t="s">
        <v>145</v>
      </c>
      <c r="F37" s="9">
        <v>0.06</v>
      </c>
      <c r="G37" s="9">
        <v>3</v>
      </c>
      <c r="H37" s="12">
        <v>0.18</v>
      </c>
      <c r="I37" s="29">
        <f t="shared" si="2"/>
        <v>3.999999999999998E-2</v>
      </c>
      <c r="J37" s="9">
        <v>0.14000000000000001</v>
      </c>
      <c r="K37" s="9">
        <f t="shared" si="1"/>
        <v>0.14000000000000001</v>
      </c>
    </row>
    <row r="38" spans="1:11" x14ac:dyDescent="0.45">
      <c r="A38" s="4">
        <v>45111</v>
      </c>
      <c r="B38" s="5" t="s">
        <v>82</v>
      </c>
      <c r="C38" s="5" t="s">
        <v>68</v>
      </c>
      <c r="D38" s="5" t="s">
        <v>173</v>
      </c>
      <c r="E38" s="9" t="s">
        <v>172</v>
      </c>
      <c r="F38" s="9">
        <v>0.23749999999999999</v>
      </c>
      <c r="G38" s="9">
        <v>30</v>
      </c>
      <c r="H38" s="9">
        <v>7.13</v>
      </c>
      <c r="I38" s="29">
        <f t="shared" si="2"/>
        <v>1.9900000000000002</v>
      </c>
      <c r="J38" s="9">
        <v>5.14</v>
      </c>
      <c r="K38" s="9">
        <f t="shared" si="1"/>
        <v>5.14</v>
      </c>
    </row>
    <row r="39" spans="1:11" x14ac:dyDescent="0.45">
      <c r="A39" s="4">
        <v>45112</v>
      </c>
      <c r="B39" s="5" t="s">
        <v>82</v>
      </c>
      <c r="C39" s="5" t="s">
        <v>28</v>
      </c>
      <c r="D39" s="5" t="s">
        <v>55</v>
      </c>
      <c r="E39" s="9" t="s">
        <v>56</v>
      </c>
      <c r="F39" s="9">
        <v>0.46</v>
      </c>
      <c r="G39" s="9">
        <v>15</v>
      </c>
      <c r="H39" s="12">
        <v>6.9</v>
      </c>
      <c r="I39" s="9">
        <f t="shared" si="2"/>
        <v>0.69000000000000039</v>
      </c>
      <c r="J39" s="9">
        <v>6.21</v>
      </c>
      <c r="K39" s="9">
        <f t="shared" si="1"/>
        <v>6.21</v>
      </c>
    </row>
    <row r="40" spans="1:11" x14ac:dyDescent="0.45">
      <c r="A40" s="4">
        <v>45141</v>
      </c>
      <c r="B40" s="5" t="s">
        <v>82</v>
      </c>
      <c r="C40" s="5" t="s">
        <v>68</v>
      </c>
      <c r="D40" s="5" t="s">
        <v>140</v>
      </c>
      <c r="E40" s="9" t="s">
        <v>141</v>
      </c>
      <c r="F40" s="9">
        <v>1</v>
      </c>
      <c r="G40" s="9">
        <v>20</v>
      </c>
      <c r="H40" s="12">
        <v>20</v>
      </c>
      <c r="I40" s="29">
        <f t="shared" si="2"/>
        <v>5.6400000000000006</v>
      </c>
      <c r="J40" s="9">
        <v>14.36</v>
      </c>
      <c r="K40" s="9">
        <f t="shared" ref="K40:K51" si="3">J40</f>
        <v>14.36</v>
      </c>
    </row>
    <row r="41" spans="1:11" x14ac:dyDescent="0.45">
      <c r="A41" s="4">
        <v>45182</v>
      </c>
      <c r="B41" s="5" t="s">
        <v>82</v>
      </c>
      <c r="C41" s="5" t="s">
        <v>68</v>
      </c>
      <c r="D41" s="5" t="s">
        <v>57</v>
      </c>
      <c r="E41" s="9" t="s">
        <v>58</v>
      </c>
      <c r="F41" s="9">
        <v>0.91</v>
      </c>
      <c r="G41" s="9">
        <v>9</v>
      </c>
      <c r="H41" s="12">
        <v>8.19</v>
      </c>
      <c r="I41" s="29">
        <f t="shared" si="2"/>
        <v>2.2999999999999998</v>
      </c>
      <c r="J41" s="9">
        <v>5.89</v>
      </c>
      <c r="K41" s="9">
        <f t="shared" si="3"/>
        <v>5.89</v>
      </c>
    </row>
    <row r="42" spans="1:11" x14ac:dyDescent="0.45">
      <c r="A42" s="4">
        <v>45184</v>
      </c>
      <c r="B42" s="5" t="s">
        <v>82</v>
      </c>
      <c r="C42" s="5" t="s">
        <v>68</v>
      </c>
      <c r="D42" s="5" t="s">
        <v>65</v>
      </c>
      <c r="E42" s="9" t="s">
        <v>66</v>
      </c>
      <c r="F42" s="9">
        <v>1.5</v>
      </c>
      <c r="G42" s="9">
        <v>10</v>
      </c>
      <c r="H42" s="12">
        <v>15</v>
      </c>
      <c r="I42" s="29">
        <f t="shared" si="2"/>
        <v>4.2300000000000004</v>
      </c>
      <c r="J42" s="9">
        <v>10.77</v>
      </c>
      <c r="K42" s="9">
        <f t="shared" si="3"/>
        <v>10.77</v>
      </c>
    </row>
    <row r="43" spans="1:11" x14ac:dyDescent="0.45">
      <c r="A43" s="4">
        <v>45191</v>
      </c>
      <c r="B43" s="5" t="s">
        <v>82</v>
      </c>
      <c r="C43" s="5" t="s">
        <v>68</v>
      </c>
      <c r="D43" s="5" t="s">
        <v>53</v>
      </c>
      <c r="E43" s="9" t="s">
        <v>54</v>
      </c>
      <c r="F43" s="9">
        <v>0.44086999999999998</v>
      </c>
      <c r="G43" s="9">
        <v>35</v>
      </c>
      <c r="H43" s="12">
        <v>15.43</v>
      </c>
      <c r="I43" s="29">
        <f t="shared" si="2"/>
        <v>4.34</v>
      </c>
      <c r="J43" s="9">
        <v>11.09</v>
      </c>
      <c r="K43" s="9">
        <f t="shared" si="3"/>
        <v>11.09</v>
      </c>
    </row>
    <row r="44" spans="1:11" x14ac:dyDescent="0.45">
      <c r="A44" s="4">
        <v>45197</v>
      </c>
      <c r="B44" s="5" t="s">
        <v>82</v>
      </c>
      <c r="C44" s="5" t="s">
        <v>68</v>
      </c>
      <c r="D44" s="5" t="s">
        <v>136</v>
      </c>
      <c r="E44" s="9" t="s">
        <v>137</v>
      </c>
      <c r="F44" s="9">
        <v>0.7984</v>
      </c>
      <c r="G44" s="9">
        <v>10</v>
      </c>
      <c r="H44" s="12">
        <v>7.98</v>
      </c>
      <c r="I44" s="29">
        <f t="shared" si="2"/>
        <v>2.2400000000000002</v>
      </c>
      <c r="J44" s="9">
        <v>5.74</v>
      </c>
      <c r="K44" s="9">
        <f t="shared" si="3"/>
        <v>5.74</v>
      </c>
    </row>
    <row r="45" spans="1:11" x14ac:dyDescent="0.45">
      <c r="A45" s="4">
        <v>45203</v>
      </c>
      <c r="B45" s="5" t="s">
        <v>82</v>
      </c>
      <c r="C45" s="5" t="s">
        <v>28</v>
      </c>
      <c r="D45" s="5" t="s">
        <v>55</v>
      </c>
      <c r="E45" s="9" t="s">
        <v>56</v>
      </c>
      <c r="F45" s="9">
        <v>0.46</v>
      </c>
      <c r="G45" s="9">
        <v>15</v>
      </c>
      <c r="H45" s="12">
        <v>6.9</v>
      </c>
      <c r="I45" s="29">
        <f t="shared" si="2"/>
        <v>0.69000000000000039</v>
      </c>
      <c r="J45" s="9">
        <v>6.21</v>
      </c>
      <c r="K45" s="9">
        <f t="shared" si="3"/>
        <v>6.21</v>
      </c>
    </row>
    <row r="46" spans="1:11" x14ac:dyDescent="0.45">
      <c r="A46" s="4">
        <v>45236</v>
      </c>
      <c r="B46" s="5" t="s">
        <v>82</v>
      </c>
      <c r="C46" s="5" t="s">
        <v>68</v>
      </c>
      <c r="D46" s="5" t="s">
        <v>140</v>
      </c>
      <c r="E46" s="9" t="s">
        <v>141</v>
      </c>
      <c r="F46" s="9">
        <v>1.05</v>
      </c>
      <c r="G46" s="9">
        <v>20</v>
      </c>
      <c r="H46" s="12">
        <v>21</v>
      </c>
      <c r="I46" s="29">
        <f t="shared" si="2"/>
        <v>5.92</v>
      </c>
      <c r="J46" s="9">
        <v>15.08</v>
      </c>
      <c r="K46" s="9">
        <f t="shared" si="3"/>
        <v>15.08</v>
      </c>
    </row>
    <row r="47" spans="1:11" x14ac:dyDescent="0.45">
      <c r="A47" s="4">
        <v>45274</v>
      </c>
      <c r="B47" s="5" t="s">
        <v>82</v>
      </c>
      <c r="C47" s="5" t="s">
        <v>68</v>
      </c>
      <c r="D47" s="5" t="s">
        <v>65</v>
      </c>
      <c r="E47" s="9" t="s">
        <v>66</v>
      </c>
      <c r="F47" s="9">
        <v>1.5</v>
      </c>
      <c r="G47" s="9">
        <v>10</v>
      </c>
      <c r="H47" s="12">
        <v>15</v>
      </c>
      <c r="I47" s="29">
        <f t="shared" si="2"/>
        <v>4.2200000000000006</v>
      </c>
      <c r="J47" s="9">
        <v>10.78</v>
      </c>
      <c r="K47" s="9">
        <f t="shared" si="3"/>
        <v>10.78</v>
      </c>
    </row>
    <row r="48" spans="1:11" x14ac:dyDescent="0.45">
      <c r="A48" s="4">
        <v>45275</v>
      </c>
      <c r="B48" s="5" t="s">
        <v>82</v>
      </c>
      <c r="C48" s="5" t="s">
        <v>68</v>
      </c>
      <c r="D48" s="5" t="s">
        <v>57</v>
      </c>
      <c r="E48" s="9" t="s">
        <v>58</v>
      </c>
      <c r="F48" s="9">
        <v>0.95</v>
      </c>
      <c r="G48" s="9">
        <v>9</v>
      </c>
      <c r="H48" s="12">
        <v>8.5500000000000007</v>
      </c>
      <c r="I48" s="29">
        <f t="shared" si="2"/>
        <v>2.410000000000001</v>
      </c>
      <c r="J48" s="9">
        <v>6.14</v>
      </c>
      <c r="K48" s="9">
        <f t="shared" si="3"/>
        <v>6.14</v>
      </c>
    </row>
    <row r="49" spans="1:11" x14ac:dyDescent="0.45">
      <c r="A49" s="4">
        <v>45279</v>
      </c>
      <c r="B49" s="5" t="s">
        <v>82</v>
      </c>
      <c r="C49" s="5" t="s">
        <v>28</v>
      </c>
      <c r="D49" s="5" t="s">
        <v>55</v>
      </c>
      <c r="E49" s="9" t="s">
        <v>56</v>
      </c>
      <c r="F49" s="9">
        <v>0.46</v>
      </c>
      <c r="G49" s="9">
        <v>15</v>
      </c>
      <c r="H49" s="12">
        <v>6.9</v>
      </c>
      <c r="I49" s="29">
        <f t="shared" si="2"/>
        <v>0.69000000000000039</v>
      </c>
      <c r="J49" s="9">
        <v>6.21</v>
      </c>
      <c r="K49" s="9">
        <f t="shared" si="3"/>
        <v>6.21</v>
      </c>
    </row>
    <row r="50" spans="1:11" x14ac:dyDescent="0.45">
      <c r="A50" s="4">
        <v>45282</v>
      </c>
      <c r="B50" s="5" t="s">
        <v>82</v>
      </c>
      <c r="C50" s="5" t="s">
        <v>68</v>
      </c>
      <c r="D50" s="5" t="s">
        <v>53</v>
      </c>
      <c r="E50" s="9" t="s">
        <v>54</v>
      </c>
      <c r="F50" s="9">
        <v>0.53395000000000004</v>
      </c>
      <c r="G50" s="9">
        <v>35</v>
      </c>
      <c r="H50" s="12">
        <v>18.690000000000001</v>
      </c>
      <c r="I50" s="29">
        <f t="shared" si="2"/>
        <v>5.2700000000000014</v>
      </c>
      <c r="J50" s="9">
        <v>13.42</v>
      </c>
      <c r="K50" s="9">
        <f t="shared" si="3"/>
        <v>13.42</v>
      </c>
    </row>
    <row r="51" spans="1:11" x14ac:dyDescent="0.45">
      <c r="A51" s="4">
        <v>45289</v>
      </c>
      <c r="B51" s="5" t="s">
        <v>82</v>
      </c>
      <c r="C51" s="5" t="s">
        <v>68</v>
      </c>
      <c r="D51" s="5" t="s">
        <v>136</v>
      </c>
      <c r="E51" s="9" t="s">
        <v>137</v>
      </c>
      <c r="F51" s="9">
        <v>1.0017</v>
      </c>
      <c r="G51" s="9">
        <v>10</v>
      </c>
      <c r="H51" s="12">
        <v>10.02</v>
      </c>
      <c r="I51" s="29">
        <f t="shared" si="2"/>
        <v>2.8099999999999996</v>
      </c>
      <c r="J51" s="9">
        <v>7.21</v>
      </c>
      <c r="K51" s="9">
        <f t="shared" si="3"/>
        <v>7.21</v>
      </c>
    </row>
    <row r="52" spans="1:11" x14ac:dyDescent="0.45">
      <c r="A52" s="4">
        <v>45324</v>
      </c>
      <c r="B52" s="5" t="s">
        <v>82</v>
      </c>
      <c r="C52" s="5" t="s">
        <v>68</v>
      </c>
      <c r="D52" s="5" t="s">
        <v>140</v>
      </c>
      <c r="E52" s="9" t="s">
        <v>141</v>
      </c>
      <c r="F52" s="9">
        <v>1.05</v>
      </c>
      <c r="G52" s="9">
        <v>20</v>
      </c>
      <c r="H52" s="12">
        <v>21</v>
      </c>
      <c r="I52" s="29">
        <f t="shared" ref="I52:I63" si="4">H52-J52</f>
        <v>5.93</v>
      </c>
      <c r="J52" s="9">
        <v>15.07</v>
      </c>
      <c r="K52" s="9">
        <f t="shared" ref="K52:K71" si="5">J52</f>
        <v>15.07</v>
      </c>
    </row>
    <row r="53" spans="1:11" x14ac:dyDescent="0.45">
      <c r="A53" s="4">
        <v>45365</v>
      </c>
      <c r="B53" s="5" t="s">
        <v>82</v>
      </c>
      <c r="C53" s="5" t="s">
        <v>68</v>
      </c>
      <c r="D53" s="5" t="s">
        <v>65</v>
      </c>
      <c r="E53" s="9" t="s">
        <v>66</v>
      </c>
      <c r="F53" s="9">
        <v>1.51</v>
      </c>
      <c r="G53" s="9">
        <v>10</v>
      </c>
      <c r="H53" s="12">
        <f>F53*G53</f>
        <v>15.1</v>
      </c>
      <c r="I53" s="29">
        <f t="shared" si="4"/>
        <v>4.25</v>
      </c>
      <c r="J53" s="9">
        <v>10.85</v>
      </c>
      <c r="K53" s="9">
        <f t="shared" si="5"/>
        <v>10.85</v>
      </c>
    </row>
    <row r="54" spans="1:11" x14ac:dyDescent="0.45">
      <c r="A54" s="4">
        <v>45380</v>
      </c>
      <c r="B54" s="5" t="s">
        <v>82</v>
      </c>
      <c r="C54" s="5" t="s">
        <v>68</v>
      </c>
      <c r="D54" s="5" t="s">
        <v>136</v>
      </c>
      <c r="E54" s="9" t="s">
        <v>137</v>
      </c>
      <c r="F54" s="9">
        <v>0.91049999999999998</v>
      </c>
      <c r="G54" s="9">
        <v>10</v>
      </c>
      <c r="H54" s="12">
        <v>9.11</v>
      </c>
      <c r="I54" s="29">
        <f t="shared" si="4"/>
        <v>2.5499999999999998</v>
      </c>
      <c r="J54" s="9">
        <v>6.56</v>
      </c>
      <c r="K54" s="9">
        <f t="shared" si="5"/>
        <v>6.56</v>
      </c>
    </row>
    <row r="55" spans="1:11" x14ac:dyDescent="0.45">
      <c r="A55" s="4">
        <v>45385</v>
      </c>
      <c r="B55" s="5" t="s">
        <v>82</v>
      </c>
      <c r="C55" s="5" t="s">
        <v>28</v>
      </c>
      <c r="D55" s="5" t="s">
        <v>55</v>
      </c>
      <c r="E55" s="9" t="s">
        <v>56</v>
      </c>
      <c r="F55" s="9">
        <v>0.48499999999999999</v>
      </c>
      <c r="G55" s="9">
        <v>15</v>
      </c>
      <c r="H55" s="12">
        <v>7.28</v>
      </c>
      <c r="I55" s="29">
        <f t="shared" si="4"/>
        <v>0.73000000000000043</v>
      </c>
      <c r="J55" s="9">
        <v>6.55</v>
      </c>
      <c r="K55" s="9">
        <f t="shared" si="5"/>
        <v>6.55</v>
      </c>
    </row>
    <row r="56" spans="1:11" x14ac:dyDescent="0.45">
      <c r="A56" s="4">
        <v>45414</v>
      </c>
      <c r="B56" s="5" t="s">
        <v>82</v>
      </c>
      <c r="C56" s="5" t="s">
        <v>68</v>
      </c>
      <c r="D56" s="5" t="s">
        <v>140</v>
      </c>
      <c r="E56" s="9" t="s">
        <v>141</v>
      </c>
      <c r="F56" s="9">
        <v>1.1499999999999999</v>
      </c>
      <c r="G56" s="9">
        <v>20</v>
      </c>
      <c r="H56" s="12">
        <v>23</v>
      </c>
      <c r="I56" s="29">
        <f t="shared" si="4"/>
        <v>6.4899999999999984</v>
      </c>
      <c r="J56" s="9">
        <v>16.510000000000002</v>
      </c>
      <c r="K56" s="9">
        <f t="shared" si="5"/>
        <v>16.510000000000002</v>
      </c>
    </row>
    <row r="57" spans="1:11" x14ac:dyDescent="0.45">
      <c r="A57" s="4">
        <v>45461</v>
      </c>
      <c r="B57" s="5" t="s">
        <v>82</v>
      </c>
      <c r="C57" s="5" t="s">
        <v>68</v>
      </c>
      <c r="D57" s="5" t="s">
        <v>245</v>
      </c>
      <c r="E57" s="9" t="s">
        <v>247</v>
      </c>
      <c r="F57" s="9">
        <v>0.75</v>
      </c>
      <c r="G57" s="9">
        <v>2</v>
      </c>
      <c r="H57" s="12">
        <v>1.5</v>
      </c>
      <c r="I57" s="29">
        <f t="shared" si="4"/>
        <v>0.40999999999999992</v>
      </c>
      <c r="J57" s="9">
        <v>1.0900000000000001</v>
      </c>
      <c r="K57" s="9">
        <f t="shared" si="5"/>
        <v>1.0900000000000001</v>
      </c>
    </row>
    <row r="58" spans="1:11" x14ac:dyDescent="0.45">
      <c r="A58" s="4">
        <v>45476</v>
      </c>
      <c r="B58" s="5" t="s">
        <v>82</v>
      </c>
      <c r="C58" s="5" t="s">
        <v>28</v>
      </c>
      <c r="D58" s="5" t="s">
        <v>55</v>
      </c>
      <c r="E58" s="9" t="s">
        <v>56</v>
      </c>
      <c r="F58" s="9">
        <v>0.48499999999999999</v>
      </c>
      <c r="G58" s="9">
        <v>15</v>
      </c>
      <c r="H58" s="12">
        <v>7.28</v>
      </c>
      <c r="I58" s="29">
        <f t="shared" si="4"/>
        <v>0.73000000000000043</v>
      </c>
      <c r="J58" s="9">
        <v>6.55</v>
      </c>
      <c r="K58" s="9">
        <f t="shared" si="5"/>
        <v>6.55</v>
      </c>
    </row>
    <row r="59" spans="1:11" x14ac:dyDescent="0.45">
      <c r="A59" s="4">
        <v>45477</v>
      </c>
      <c r="B59" s="5" t="s">
        <v>82</v>
      </c>
      <c r="C59" s="5" t="s">
        <v>68</v>
      </c>
      <c r="D59" s="5" t="s">
        <v>136</v>
      </c>
      <c r="E59" s="9" t="s">
        <v>137</v>
      </c>
      <c r="F59" s="9">
        <v>0.95189999999999997</v>
      </c>
      <c r="G59" s="9">
        <v>10</v>
      </c>
      <c r="H59" s="12">
        <v>9.52</v>
      </c>
      <c r="I59" s="29">
        <f t="shared" si="4"/>
        <v>2.67</v>
      </c>
      <c r="J59" s="9">
        <v>6.85</v>
      </c>
      <c r="K59" s="9">
        <f t="shared" si="5"/>
        <v>6.85</v>
      </c>
    </row>
    <row r="60" spans="1:11" x14ac:dyDescent="0.45">
      <c r="A60" s="4">
        <v>45506</v>
      </c>
      <c r="B60" s="5" t="s">
        <v>82</v>
      </c>
      <c r="C60" s="5" t="s">
        <v>68</v>
      </c>
      <c r="D60" s="5" t="s">
        <v>140</v>
      </c>
      <c r="E60" s="9" t="s">
        <v>141</v>
      </c>
      <c r="F60" s="9">
        <v>1.1499999999999999</v>
      </c>
      <c r="G60" s="9">
        <v>20</v>
      </c>
      <c r="H60" s="12">
        <v>23</v>
      </c>
      <c r="I60" s="29">
        <f t="shared" si="4"/>
        <v>6.4899999999999984</v>
      </c>
      <c r="J60" s="9">
        <v>16.510000000000002</v>
      </c>
      <c r="K60" s="9">
        <f t="shared" si="5"/>
        <v>16.510000000000002</v>
      </c>
    </row>
    <row r="61" spans="1:11" x14ac:dyDescent="0.45">
      <c r="A61" s="4">
        <v>45552</v>
      </c>
      <c r="B61" s="5" t="s">
        <v>82</v>
      </c>
      <c r="C61" s="5" t="s">
        <v>68</v>
      </c>
      <c r="D61" s="5" t="s">
        <v>245</v>
      </c>
      <c r="E61" s="9" t="s">
        <v>247</v>
      </c>
      <c r="F61" s="9">
        <v>0.75</v>
      </c>
      <c r="G61" s="9">
        <v>2</v>
      </c>
      <c r="H61" s="12">
        <v>1.5</v>
      </c>
      <c r="I61" s="29">
        <f t="shared" si="4"/>
        <v>0.40999999999999992</v>
      </c>
      <c r="J61" s="9">
        <v>1.0900000000000001</v>
      </c>
      <c r="K61" s="9">
        <f t="shared" si="5"/>
        <v>1.0900000000000001</v>
      </c>
    </row>
    <row r="62" spans="1:11" x14ac:dyDescent="0.45">
      <c r="A62" s="4">
        <v>45553</v>
      </c>
      <c r="B62" s="5" t="s">
        <v>82</v>
      </c>
      <c r="C62" s="5" t="s">
        <v>68</v>
      </c>
      <c r="D62" s="5" t="s">
        <v>256</v>
      </c>
      <c r="E62" s="9" t="s">
        <v>255</v>
      </c>
      <c r="F62" s="9">
        <v>0.2</v>
      </c>
      <c r="G62" s="9">
        <v>8</v>
      </c>
      <c r="H62" s="12">
        <v>1.6</v>
      </c>
      <c r="I62" s="29">
        <f t="shared" si="4"/>
        <v>0.44000000000000017</v>
      </c>
      <c r="J62" s="9">
        <v>1.1599999999999999</v>
      </c>
      <c r="K62" s="9">
        <f t="shared" si="5"/>
        <v>1.1599999999999999</v>
      </c>
    </row>
    <row r="63" spans="1:11" x14ac:dyDescent="0.45">
      <c r="A63" s="4">
        <v>45568</v>
      </c>
      <c r="B63" s="5" t="s">
        <v>82</v>
      </c>
      <c r="C63" s="5" t="s">
        <v>68</v>
      </c>
      <c r="D63" s="5" t="s">
        <v>136</v>
      </c>
      <c r="E63" s="9" t="s">
        <v>137</v>
      </c>
      <c r="F63" s="9">
        <v>0.87070000000000003</v>
      </c>
      <c r="G63" s="9">
        <v>10</v>
      </c>
      <c r="H63" s="12">
        <v>8.7100000000000009</v>
      </c>
      <c r="I63" s="29">
        <f t="shared" si="4"/>
        <v>2.4500000000000011</v>
      </c>
      <c r="J63" s="9">
        <v>6.26</v>
      </c>
      <c r="K63" s="9">
        <f t="shared" si="5"/>
        <v>6.26</v>
      </c>
    </row>
    <row r="64" spans="1:11" x14ac:dyDescent="0.45">
      <c r="A64" s="4">
        <v>45569</v>
      </c>
      <c r="B64" s="5" t="s">
        <v>82</v>
      </c>
      <c r="C64" s="5" t="s">
        <v>28</v>
      </c>
      <c r="D64" s="5" t="s">
        <v>55</v>
      </c>
      <c r="E64" s="9" t="s">
        <v>56</v>
      </c>
      <c r="F64" s="9">
        <v>0.48499999999999999</v>
      </c>
      <c r="G64" s="9">
        <v>15</v>
      </c>
      <c r="H64" s="12">
        <v>7.28</v>
      </c>
      <c r="I64" s="29">
        <f t="shared" ref="I64:I71" si="6">H64-J64</f>
        <v>0.73000000000000043</v>
      </c>
      <c r="J64" s="9">
        <v>6.55</v>
      </c>
      <c r="K64" s="9">
        <f t="shared" si="5"/>
        <v>6.55</v>
      </c>
    </row>
    <row r="65" spans="1:11" x14ac:dyDescent="0.45">
      <c r="A65" s="4">
        <v>45601</v>
      </c>
      <c r="B65" s="5" t="s">
        <v>82</v>
      </c>
      <c r="C65" s="5" t="s">
        <v>68</v>
      </c>
      <c r="D65" s="5" t="s">
        <v>140</v>
      </c>
      <c r="E65" s="9" t="s">
        <v>141</v>
      </c>
      <c r="F65" s="9">
        <v>1.25</v>
      </c>
      <c r="G65" s="9">
        <v>20</v>
      </c>
      <c r="H65" s="12">
        <v>25</v>
      </c>
      <c r="I65" s="29">
        <f t="shared" si="6"/>
        <v>7.0500000000000007</v>
      </c>
      <c r="J65" s="9">
        <v>17.95</v>
      </c>
      <c r="K65" s="9">
        <f t="shared" si="5"/>
        <v>17.95</v>
      </c>
    </row>
    <row r="66" spans="1:11" x14ac:dyDescent="0.45">
      <c r="A66" s="4">
        <v>45645</v>
      </c>
      <c r="B66" s="5" t="s">
        <v>82</v>
      </c>
      <c r="C66" s="5" t="s">
        <v>28</v>
      </c>
      <c r="D66" s="5" t="s">
        <v>55</v>
      </c>
      <c r="E66" s="9" t="s">
        <v>56</v>
      </c>
      <c r="F66" s="9">
        <v>0.48499999999999999</v>
      </c>
      <c r="G66" s="9">
        <v>15</v>
      </c>
      <c r="H66" s="12">
        <v>7.28</v>
      </c>
      <c r="I66" s="29">
        <f t="shared" si="6"/>
        <v>0.73000000000000043</v>
      </c>
      <c r="J66" s="9">
        <v>6.55</v>
      </c>
      <c r="K66" s="9">
        <f t="shared" si="5"/>
        <v>6.55</v>
      </c>
    </row>
    <row r="67" spans="1:11" x14ac:dyDescent="0.45">
      <c r="A67" s="4">
        <v>45645</v>
      </c>
      <c r="B67" s="5" t="s">
        <v>82</v>
      </c>
      <c r="C67" s="5" t="s">
        <v>68</v>
      </c>
      <c r="D67" s="5" t="s">
        <v>256</v>
      </c>
      <c r="E67" s="9" t="s">
        <v>255</v>
      </c>
      <c r="F67" s="9">
        <v>0.2</v>
      </c>
      <c r="G67" s="9">
        <v>8</v>
      </c>
      <c r="H67" s="12">
        <v>1.6</v>
      </c>
      <c r="I67" s="29">
        <f t="shared" si="6"/>
        <v>0.44000000000000017</v>
      </c>
      <c r="J67" s="9">
        <v>1.1599999999999999</v>
      </c>
      <c r="K67" s="9">
        <f t="shared" si="5"/>
        <v>1.1599999999999999</v>
      </c>
    </row>
    <row r="68" spans="1:11" x14ac:dyDescent="0.45">
      <c r="A68" s="4">
        <v>45656</v>
      </c>
      <c r="B68" s="5" t="s">
        <v>82</v>
      </c>
      <c r="C68" s="5" t="s">
        <v>68</v>
      </c>
      <c r="D68" s="5" t="s">
        <v>136</v>
      </c>
      <c r="E68" s="9" t="s">
        <v>137</v>
      </c>
      <c r="F68" s="9">
        <v>0.94120000000000004</v>
      </c>
      <c r="G68" s="9">
        <v>10</v>
      </c>
      <c r="H68" s="12">
        <v>9.41</v>
      </c>
      <c r="I68" s="29">
        <f t="shared" si="6"/>
        <v>2.6500000000000004</v>
      </c>
      <c r="J68" s="9">
        <v>6.76</v>
      </c>
      <c r="K68" s="9">
        <f t="shared" si="5"/>
        <v>6.76</v>
      </c>
    </row>
    <row r="69" spans="1:11" x14ac:dyDescent="0.45">
      <c r="A69" s="4">
        <v>45749</v>
      </c>
      <c r="B69" s="5" t="s">
        <v>82</v>
      </c>
      <c r="C69" s="5" t="s">
        <v>68</v>
      </c>
      <c r="D69" s="5" t="s">
        <v>136</v>
      </c>
      <c r="E69" s="9" t="s">
        <v>137</v>
      </c>
      <c r="F69" s="9">
        <v>0.98540000000000005</v>
      </c>
      <c r="G69" s="9">
        <v>10</v>
      </c>
      <c r="H69" s="12">
        <v>9.85</v>
      </c>
      <c r="I69" s="29">
        <f t="shared" si="6"/>
        <v>2.7699999999999996</v>
      </c>
      <c r="J69" s="9">
        <v>7.08</v>
      </c>
      <c r="K69" s="9">
        <f t="shared" si="5"/>
        <v>7.08</v>
      </c>
    </row>
    <row r="70" spans="1:11" x14ac:dyDescent="0.45">
      <c r="A70" s="4">
        <v>45751</v>
      </c>
      <c r="B70" s="5" t="s">
        <v>82</v>
      </c>
      <c r="C70" s="5" t="s">
        <v>28</v>
      </c>
      <c r="D70" s="5" t="s">
        <v>55</v>
      </c>
      <c r="E70" s="9" t="s">
        <v>56</v>
      </c>
      <c r="F70" s="9">
        <v>0.51</v>
      </c>
      <c r="G70" s="9">
        <v>15</v>
      </c>
      <c r="H70" s="9">
        <v>7.65</v>
      </c>
      <c r="I70" s="46">
        <f t="shared" si="6"/>
        <v>0.77000000000000046</v>
      </c>
      <c r="J70" s="9">
        <v>6.88</v>
      </c>
      <c r="K70" s="9">
        <f t="shared" si="5"/>
        <v>6.88</v>
      </c>
    </row>
    <row r="71" spans="1:11" x14ac:dyDescent="0.45">
      <c r="A71" s="4">
        <v>45832</v>
      </c>
      <c r="B71" s="5" t="s">
        <v>82</v>
      </c>
      <c r="C71" s="5" t="s">
        <v>68</v>
      </c>
      <c r="D71" s="5" t="s">
        <v>329</v>
      </c>
      <c r="E71" s="9" t="s">
        <v>328</v>
      </c>
      <c r="F71" s="9">
        <v>0.67930999999999997</v>
      </c>
      <c r="G71" s="9">
        <v>39</v>
      </c>
      <c r="H71" s="12">
        <v>26.49</v>
      </c>
      <c r="I71" s="29">
        <f t="shared" si="6"/>
        <v>7.4799999999999969</v>
      </c>
      <c r="J71" s="9">
        <v>19.010000000000002</v>
      </c>
      <c r="K71" s="9">
        <f t="shared" si="5"/>
        <v>19.010000000000002</v>
      </c>
    </row>
    <row r="72" spans="1:11" x14ac:dyDescent="0.45">
      <c r="A72" s="4">
        <v>45842</v>
      </c>
      <c r="B72" s="5" t="s">
        <v>82</v>
      </c>
      <c r="C72" s="5" t="s">
        <v>28</v>
      </c>
      <c r="D72" s="5" t="s">
        <v>55</v>
      </c>
      <c r="E72" s="9" t="s">
        <v>56</v>
      </c>
      <c r="F72" s="9">
        <v>0.51</v>
      </c>
      <c r="G72" s="9">
        <v>15</v>
      </c>
      <c r="H72" s="9">
        <v>7.65</v>
      </c>
      <c r="I72" s="46">
        <f t="shared" ref="I72:I74" si="7">H72-J72</f>
        <v>0.77000000000000046</v>
      </c>
      <c r="J72" s="9">
        <v>6.88</v>
      </c>
      <c r="K72" s="9">
        <f t="shared" ref="K72:K74" si="8">J72</f>
        <v>6.88</v>
      </c>
    </row>
    <row r="73" spans="1:11" x14ac:dyDescent="0.45">
      <c r="A73" s="4">
        <v>45933</v>
      </c>
      <c r="B73" s="5" t="s">
        <v>82</v>
      </c>
      <c r="C73" s="5" t="s">
        <v>28</v>
      </c>
      <c r="D73" s="5" t="s">
        <v>55</v>
      </c>
      <c r="E73" s="9" t="s">
        <v>56</v>
      </c>
      <c r="F73" s="9">
        <v>0.51</v>
      </c>
      <c r="G73" s="9">
        <v>15</v>
      </c>
      <c r="H73" s="9">
        <v>7.65</v>
      </c>
      <c r="I73" s="46">
        <f t="shared" si="7"/>
        <v>0.77000000000000046</v>
      </c>
      <c r="J73" s="9">
        <v>6.88</v>
      </c>
      <c r="K73" s="9">
        <f t="shared" si="8"/>
        <v>6.88</v>
      </c>
    </row>
    <row r="74" spans="1:11" x14ac:dyDescent="0.45">
      <c r="A74" s="4">
        <v>46021</v>
      </c>
      <c r="B74" s="5" t="s">
        <v>82</v>
      </c>
      <c r="C74" s="5" t="s">
        <v>68</v>
      </c>
      <c r="D74" s="5" t="s">
        <v>234</v>
      </c>
      <c r="E74" s="9" t="s">
        <v>235</v>
      </c>
      <c r="F74" s="9">
        <v>0.6331</v>
      </c>
      <c r="G74" s="9">
        <v>25</v>
      </c>
      <c r="H74" s="9">
        <v>15.83</v>
      </c>
      <c r="I74" s="46">
        <f t="shared" si="7"/>
        <v>4.4499999999999993</v>
      </c>
      <c r="J74" s="9">
        <v>11.38</v>
      </c>
      <c r="K74" s="9">
        <f t="shared" si="8"/>
        <v>11.38</v>
      </c>
    </row>
  </sheetData>
  <autoFilter ref="A1:K74" xr:uid="{00000000-0009-0000-0000-000006000000}">
    <sortState xmlns:xlrd2="http://schemas.microsoft.com/office/spreadsheetml/2017/richdata2" ref="A2:K23">
      <sortCondition ref="A1:A23"/>
    </sortState>
  </autoFilter>
  <phoneticPr fontId="18"/>
  <pageMargins left="0.7" right="0.7" top="0.75" bottom="0.75" header="0.3" footer="0.3"/>
  <pageSetup paperSize="9" scale="37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まとめ_日本</vt:lpstr>
      <vt:lpstr>まとめ_海外</vt:lpstr>
      <vt:lpstr>国内株式_NISA</vt:lpstr>
      <vt:lpstr>国内株式_NISA_配当</vt:lpstr>
      <vt:lpstr>国内株式_特定</vt:lpstr>
      <vt:lpstr>国内株式_特定_配当</vt:lpstr>
      <vt:lpstr>国内株式_信用</vt:lpstr>
      <vt:lpstr>投資信託</vt:lpstr>
      <vt:lpstr>米国株式</vt:lpstr>
      <vt:lpstr>米国株式_配当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Shota Morimoto</dc:creator>
  <cp:lastModifiedBy>Shota Morimoto</cp:lastModifiedBy>
  <dcterms:created xsi:type="dcterms:W3CDTF">2022-12-29T12:02:58Z</dcterms:created>
  <dcterms:modified xsi:type="dcterms:W3CDTF">2026-03-31T12:50:25Z</dcterms:modified>
</cp:coreProperties>
</file>