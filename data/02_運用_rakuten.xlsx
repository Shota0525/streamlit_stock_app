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621" documentId="13_ncr:1_{F23918F6-93A0-4FFC-9C54-3B208A91E086}" xr6:coauthVersionLast="47" xr6:coauthVersionMax="47" xr10:uidLastSave="{134C0A1D-3121-4EB9-8E1C-374528201858}"/>
  <bookViews>
    <workbookView xWindow="-108" yWindow="-108" windowWidth="23256" windowHeight="12456" tabRatio="819" activeTab="7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国内株式_特定!$A$1:$N$852</definedName>
    <definedName name="_xlnm._FilterDatabase" localSheetId="5" hidden="1">国内株式_特定_配当!$A$1:$K$15</definedName>
    <definedName name="_xlnm._FilterDatabase" localSheetId="7" hidden="1">投資信託!$A$1:$K$65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M963" i="6" l="1"/>
  <c r="P59" i="8"/>
  <c r="S59" i="8"/>
  <c r="K59" i="8"/>
  <c r="M954" i="6"/>
  <c r="M955" i="6"/>
  <c r="M956" i="6"/>
  <c r="M957" i="6"/>
  <c r="M958" i="6"/>
  <c r="M959" i="6"/>
  <c r="M960" i="6"/>
  <c r="M961" i="6"/>
  <c r="M962" i="6"/>
  <c r="H60" i="2"/>
  <c r="J60" i="2" s="1"/>
  <c r="K60" i="2" s="1"/>
  <c r="J94" i="5"/>
  <c r="K94" i="5"/>
  <c r="H94" i="5"/>
  <c r="J93" i="5"/>
  <c r="K93" i="5"/>
  <c r="H93" i="5"/>
  <c r="H29" i="2"/>
  <c r="J29" i="2" s="1"/>
  <c r="K29" i="2" s="1"/>
  <c r="J92" i="5"/>
  <c r="K92" i="5"/>
  <c r="H92" i="5"/>
  <c r="M946" i="6"/>
  <c r="M947" i="6"/>
  <c r="M948" i="6"/>
  <c r="M949" i="6"/>
  <c r="M950" i="6"/>
  <c r="M951" i="6"/>
  <c r="M952" i="6"/>
  <c r="M953" i="6"/>
  <c r="J91" i="5"/>
  <c r="K91" i="5" s="1"/>
  <c r="H91" i="5"/>
  <c r="M937" i="6" l="1"/>
  <c r="M938" i="6"/>
  <c r="M939" i="6"/>
  <c r="M940" i="6"/>
  <c r="M941" i="6"/>
  <c r="M942" i="6"/>
  <c r="M943" i="6"/>
  <c r="M944" i="6"/>
  <c r="M945" i="6"/>
  <c r="M936" i="6"/>
  <c r="M935" i="6"/>
  <c r="M934" i="6"/>
  <c r="M924" i="6"/>
  <c r="M925" i="6"/>
  <c r="M926" i="6"/>
  <c r="M927" i="6"/>
  <c r="M928" i="6"/>
  <c r="M929" i="6"/>
  <c r="M930" i="6"/>
  <c r="M931" i="6"/>
  <c r="M932" i="6"/>
  <c r="M933" i="6"/>
  <c r="J36" i="2"/>
  <c r="K36" i="2"/>
  <c r="H36" i="2"/>
  <c r="M921" i="6"/>
  <c r="M922" i="6"/>
  <c r="M923" i="6"/>
  <c r="N908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J90" i="5"/>
  <c r="K90" i="5"/>
  <c r="H90" i="5"/>
  <c r="M892" i="6"/>
  <c r="M888" i="6"/>
  <c r="M889" i="6"/>
  <c r="M890" i="6"/>
  <c r="M891" i="6"/>
  <c r="N886" i="6"/>
  <c r="M884" i="6"/>
  <c r="M885" i="6"/>
  <c r="M886" i="6"/>
  <c r="M887" i="6"/>
  <c r="M876" i="6"/>
  <c r="M877" i="6"/>
  <c r="M878" i="6"/>
  <c r="M879" i="6"/>
  <c r="M880" i="6"/>
  <c r="M881" i="6"/>
  <c r="M882" i="6"/>
  <c r="M883" i="6"/>
  <c r="J89" i="5"/>
  <c r="K89" i="5"/>
  <c r="H89" i="5"/>
  <c r="M874" i="6"/>
  <c r="M875" i="6"/>
  <c r="M873" i="6"/>
  <c r="H88" i="5"/>
  <c r="J88" i="5" s="1"/>
  <c r="K88" i="5" s="1"/>
  <c r="H87" i="5"/>
  <c r="J87" i="5" s="1"/>
  <c r="K87" i="5" s="1"/>
  <c r="H57" i="2"/>
  <c r="J57" i="2" s="1"/>
  <c r="K57" i="2" s="1"/>
  <c r="J86" i="5" l="1"/>
  <c r="K86" i="5"/>
  <c r="H86" i="5"/>
  <c r="M870" i="6"/>
  <c r="M863" i="6"/>
  <c r="M864" i="6"/>
  <c r="M865" i="6"/>
  <c r="M866" i="6"/>
  <c r="M867" i="6"/>
  <c r="M868" i="6"/>
  <c r="M869" i="6"/>
  <c r="J85" i="5"/>
  <c r="K85" i="5"/>
  <c r="H85" i="5"/>
  <c r="M862" i="6"/>
  <c r="M855" i="6"/>
  <c r="M856" i="6"/>
  <c r="M857" i="6"/>
  <c r="M858" i="6"/>
  <c r="M859" i="6"/>
  <c r="M860" i="6"/>
  <c r="M861" i="6"/>
  <c r="M854" i="6"/>
  <c r="M853" i="6"/>
  <c r="N844" i="6"/>
  <c r="M840" i="6"/>
  <c r="M841" i="6"/>
  <c r="M842" i="6"/>
  <c r="M843" i="6"/>
  <c r="M844" i="6"/>
  <c r="M845" i="6"/>
  <c r="M846" i="6"/>
  <c r="M847" i="6"/>
  <c r="M848" i="6"/>
  <c r="M849" i="6"/>
  <c r="M851" i="6"/>
  <c r="M852" i="6"/>
  <c r="M830" i="6" l="1"/>
  <c r="M831" i="6"/>
  <c r="M832" i="6"/>
  <c r="M833" i="6"/>
  <c r="M834" i="6"/>
  <c r="M835" i="6"/>
  <c r="M836" i="6"/>
  <c r="M837" i="6"/>
  <c r="M838" i="6"/>
  <c r="M839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L10" i="10"/>
  <c r="K10" i="10"/>
  <c r="M10" i="10" s="1"/>
  <c r="N10" i="10" s="1"/>
  <c r="H10" i="10"/>
  <c r="G10" i="10"/>
  <c r="F10" i="10"/>
  <c r="D10" i="10"/>
  <c r="C10" i="10"/>
  <c r="B10" i="10"/>
  <c r="E10" i="10" l="1"/>
  <c r="Q10" i="10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I9" i="11"/>
  <c r="J9" i="11" s="1"/>
  <c r="I8" i="11"/>
  <c r="J8" i="11" s="1"/>
  <c r="I6" i="11"/>
  <c r="J6" i="11" s="1"/>
  <c r="I7" i="11"/>
  <c r="J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K7" i="11" l="1"/>
  <c r="S10" i="10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H21" i="2"/>
  <c r="J21" i="2" s="1"/>
  <c r="K21" i="2" s="1"/>
  <c r="J82" i="5"/>
  <c r="K82" i="5"/>
  <c r="H82" i="5"/>
  <c r="N752" i="6"/>
  <c r="M755" i="6"/>
  <c r="M754" i="6"/>
  <c r="M753" i="6"/>
  <c r="M752" i="6"/>
  <c r="J81" i="5"/>
  <c r="K81" i="5"/>
  <c r="H81" i="5"/>
  <c r="H63" i="2"/>
  <c r="J63" i="2" s="1"/>
  <c r="K63" i="2" s="1"/>
  <c r="M751" i="6"/>
  <c r="J80" i="5"/>
  <c r="K80" i="5" s="1"/>
  <c r="H80" i="5"/>
  <c r="H28" i="2"/>
  <c r="J28" i="2" s="1"/>
  <c r="K28" i="2" s="1"/>
  <c r="H59" i="2"/>
  <c r="J59" i="2" s="1"/>
  <c r="K59" i="2" s="1"/>
  <c r="J79" i="5"/>
  <c r="K79" i="5"/>
  <c r="H79" i="5"/>
  <c r="N749" i="6" l="1"/>
  <c r="M748" i="6"/>
  <c r="M749" i="6"/>
  <c r="M750" i="6"/>
  <c r="H5" i="2"/>
  <c r="J5" i="2" s="1"/>
  <c r="K5" i="2" s="1"/>
  <c r="H20" i="2"/>
  <c r="J20" i="2" s="1"/>
  <c r="K20" i="2" s="1"/>
  <c r="H19" i="2"/>
  <c r="J19" i="2" s="1"/>
  <c r="K19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35" i="2"/>
  <c r="J35" i="2" s="1"/>
  <c r="K35" i="2" s="1"/>
  <c r="H56" i="2"/>
  <c r="J56" i="2" s="1"/>
  <c r="K56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7" i="2"/>
  <c r="J17" i="2" s="1"/>
  <c r="K17" i="2" s="1"/>
  <c r="H18" i="2"/>
  <c r="J18" i="2" s="1"/>
  <c r="K18" i="2" s="1"/>
  <c r="M657" i="6"/>
  <c r="M656" i="6"/>
  <c r="M655" i="6"/>
  <c r="M654" i="6"/>
  <c r="I71" i="3"/>
  <c r="K71" i="3"/>
  <c r="H4" i="2"/>
  <c r="J4" i="2"/>
  <c r="K4" i="2" s="1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58" i="2"/>
  <c r="J58" i="2" s="1"/>
  <c r="K58" i="2" s="1"/>
  <c r="M630" i="6"/>
  <c r="M631" i="6"/>
  <c r="M632" i="6"/>
  <c r="M633" i="6"/>
  <c r="H27" i="2"/>
  <c r="J27" i="2" s="1"/>
  <c r="K27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55" i="2"/>
  <c r="J55" i="2" s="1"/>
  <c r="K55" i="2" s="1"/>
  <c r="H34" i="2"/>
  <c r="J34" i="2" s="1"/>
  <c r="K34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6" i="2"/>
  <c r="J26" i="2" s="1"/>
  <c r="K26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45" i="2"/>
  <c r="J45" i="2" s="1"/>
  <c r="K45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5" i="2"/>
  <c r="J15" i="2" s="1"/>
  <c r="K15" i="2" s="1"/>
  <c r="H16" i="2"/>
  <c r="J16" i="2" s="1"/>
  <c r="K16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8" i="2"/>
  <c r="J8" i="2" s="1"/>
  <c r="K8" i="2" s="1"/>
  <c r="H33" i="2"/>
  <c r="J33" i="2" s="1"/>
  <c r="K33" i="2" s="1"/>
  <c r="H48" i="5" l="1"/>
  <c r="J48" i="5" s="1"/>
  <c r="K48" i="5" s="1"/>
  <c r="H53" i="2"/>
  <c r="J53" i="2" s="1"/>
  <c r="K53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44" i="2"/>
  <c r="J44" i="2" s="1"/>
  <c r="K44" i="2" s="1"/>
  <c r="H14" i="2"/>
  <c r="J14" i="2" s="1"/>
  <c r="K14" i="2" s="1"/>
  <c r="H13" i="2"/>
  <c r="J13" i="2" s="1"/>
  <c r="K13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62" i="2"/>
  <c r="J62" i="2" s="1"/>
  <c r="K62" i="2" s="1"/>
  <c r="J42" i="5"/>
  <c r="K42" i="5" s="1"/>
  <c r="H42" i="5"/>
  <c r="H41" i="5" l="1"/>
  <c r="J41" i="5" s="1"/>
  <c r="K41" i="5" s="1"/>
  <c r="H37" i="2"/>
  <c r="J37" i="2" s="1"/>
  <c r="K37" i="2" s="1"/>
  <c r="M464" i="6"/>
  <c r="M463" i="6"/>
  <c r="H25" i="2"/>
  <c r="J25" i="2" s="1"/>
  <c r="K25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32" i="2" l="1"/>
  <c r="J32" i="2" s="1"/>
  <c r="K32" i="2" s="1"/>
  <c r="H52" i="2"/>
  <c r="J52" i="2" s="1"/>
  <c r="K52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7" i="2"/>
  <c r="J7" i="2" s="1"/>
  <c r="K7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4" i="2"/>
  <c r="J24" i="2" s="1"/>
  <c r="K24" i="2" s="1"/>
  <c r="H43" i="2"/>
  <c r="J43" i="2" s="1"/>
  <c r="K43" i="2" s="1"/>
  <c r="M356" i="6"/>
  <c r="H12" i="2"/>
  <c r="J12" i="2" s="1"/>
  <c r="K12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31" i="2"/>
  <c r="J31" i="2" s="1"/>
  <c r="K31" i="2" s="1"/>
  <c r="M30" i="1"/>
  <c r="M330" i="6"/>
  <c r="M329" i="6"/>
  <c r="H30" i="5"/>
  <c r="J30" i="5"/>
  <c r="K30" i="5"/>
  <c r="M328" i="6"/>
  <c r="H51" i="2"/>
  <c r="J51" i="2" s="1"/>
  <c r="K51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42" i="2"/>
  <c r="J42" i="2" s="1"/>
  <c r="K42" i="2" s="1"/>
  <c r="H11" i="2"/>
  <c r="J11" i="2" s="1"/>
  <c r="K11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61" i="2"/>
  <c r="J61" i="2" s="1"/>
  <c r="K6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10" i="2"/>
  <c r="J10" i="2" s="1"/>
  <c r="K10" i="2" s="1"/>
  <c r="H23" i="2"/>
  <c r="J23" i="2" s="1"/>
  <c r="K23" i="2" s="1"/>
  <c r="H41" i="2"/>
  <c r="J41" i="2" s="1"/>
  <c r="K41" i="2" s="1"/>
  <c r="H50" i="2"/>
  <c r="J50" i="2" s="1"/>
  <c r="K50" i="2" s="1"/>
  <c r="H9" i="2"/>
  <c r="J9" i="2" s="1"/>
  <c r="K9" i="2" s="1"/>
  <c r="H22" i="2"/>
  <c r="J22" i="2" s="1"/>
  <c r="K22" i="2" s="1"/>
  <c r="H38" i="2"/>
  <c r="J38" i="2" s="1"/>
  <c r="K38" i="2" s="1"/>
  <c r="H39" i="2"/>
  <c r="J39" i="2"/>
  <c r="K39" i="2" s="1"/>
  <c r="H40" i="2"/>
  <c r="J40" i="2" s="1"/>
  <c r="K40" i="2" s="1"/>
  <c r="H46" i="2"/>
  <c r="J46" i="2" s="1"/>
  <c r="K46" i="2" s="1"/>
  <c r="H47" i="2"/>
  <c r="J47" i="2" s="1"/>
  <c r="K47" i="2" s="1"/>
  <c r="H48" i="2"/>
  <c r="J48" i="2" s="1"/>
  <c r="K48" i="2" s="1"/>
  <c r="H49" i="2"/>
  <c r="J49" i="2" s="1"/>
  <c r="K49" i="2" s="1"/>
  <c r="H54" i="2"/>
  <c r="J54" i="2" s="1"/>
  <c r="K54" i="2" s="1"/>
  <c r="H6" i="2"/>
  <c r="J6" i="2" s="1"/>
  <c r="K6" i="2" s="1"/>
  <c r="H30" i="2"/>
  <c r="J30" i="2" s="1"/>
  <c r="K30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N5" i="10" s="1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<sst xmlns="http://schemas.openxmlformats.org/spreadsheetml/2006/main" count="7402" uniqueCount="472">
  <si>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</si>
  <si>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</si>
  <si>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</si>
  <si>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</si>
  <si>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</si>
  <si>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</si>
  <si>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</si>
  <si>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</si>
  <si>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</si>
  <si>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</si>
  <si>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</si>
  <si>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</si>
  <si>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</si>
  <si>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</si>
  <si>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</si>
  <si>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</si>
  <si>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</si>
  <si>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</si>
  <si>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</si>
  <si>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</si>
  <si>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</si>
  <si>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</si>
  <si>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</si>
  <si>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</si>
  <si>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</si>
  <si>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</si>
  <si>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</si>
  <si>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</si>
  <si>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</si>
  <si>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</si>
  <si>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</si>
  <si>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</si>
  <si>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</si>
  <si>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</si>
  <si>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</si>
  <si>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</si>
  <si>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</si>
  <si>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</si>
  <si>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</si>
  <si>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</si>
  <si>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</si>
  <si>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</si>
  <si>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</si>
  <si>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</si>
  <si>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</si>
  <si>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</si>
  <si>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</si>
  <si>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</si>
  <si>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</si>
  <si>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</si>
  <si>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</si>
  <si>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</si>
  <si>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</si>
  <si>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</si>
  <si>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</si>
  <si>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</si>
  <si>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</si>
  <si>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</si>
  <si>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</si>
  <si>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</si>
  <si>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</si>
  <si>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</si>
  <si>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</si>
  <si>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</si>
  <si>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</si>
  <si>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</si>
  <si>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</si>
  <si>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</si>
  <si>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</si>
  <si>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</si>
  <si>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</si>
  <si>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</si>
  <si>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</si>
  <si>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</si>
  <si>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</si>
  <si>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</si>
  <si>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</si>
  <si>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</si>
  <si>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</si>
  <si>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</si>
  <si>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</si>
  <si>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</si>
  <si>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</si>
  <si>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</si>
  <si>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</si>
  <si>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</si>
  <si>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</si>
  <si>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</si>
  <si>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</si>
  <si>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</si>
  <si>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</si>
  <si>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</si>
  <si>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</si>
  <si>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</si>
  <si>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</si>
  <si>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</si>
  <si>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</si>
  <si>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</si>
  <si>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</si>
  <si>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</si>
  <si>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</si>
  <si>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</si>
  <si>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</si>
  <si>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</si>
  <si>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</si>
  <si>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</si>
  <si>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</si>
  <si>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</si>
  <si>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</si>
  <si>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</si>
  <si>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</si>
  <si>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</si>
  <si>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</si>
  <si>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</si>
  <si>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</si>
  <si>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</si>
  <si>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</si>
  <si>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</si>
  <si>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</si>
  <si>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</si>
  <si>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</si>
  <si>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</si>
  <si>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</si>
  <si>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</si>
  <si>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</si>
  <si>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</si>
  <si>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</si>
  <si>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</si>
  <si>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</si>
  <si>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</si>
  <si>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</si>
  <si>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</si>
  <si>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</si>
  <si>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</si>
  <si>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</si>
  <si>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</si>
  <si>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</si>
  <si>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</si>
  <si>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</si>
  <si>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</si>
  <si>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</si>
  <si>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</si>
  <si>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</si>
  <si>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</si>
  <si>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</si>
  <si>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</si>
  <si>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</si>
  <si>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</si>
  <si>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</si>
  <si>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</si>
  <si>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</si>
  <si>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</si>
  <si>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</si>
  <si>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</si>
  <si>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</si>
  <si>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</si>
  <si>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</si>
  <si>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</si>
  <si>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</si>
  <si>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</si>
  <si>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</si>
  <si>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</si>
  <si>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</si>
  <si>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</si>
  <si>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</si>
  <si>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</si>
  <si>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</si>
  <si>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</si>
  <si>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</si>
  <si>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</si>
  <si>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</si>
  <si>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</si>
  <si>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</si>
  <si>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</si>
  <si>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</si>
  <si>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</si>
  <si>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</si>
  <si>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</si>
  <si>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</si>
  <si>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</si>
  <si>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</si>
  <si>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</si>
  <si>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</si>
  <si>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</si>
  <si>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</si>
  <si>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</si>
  <si>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</si>
  <si>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</si>
  <si>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</si>
  <si>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</si>
  <si>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</si>
  <si>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</si>
  <si>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</si>
  <si>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</si>
  <si>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</si>
  <si>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</si>
  <si>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</si>
  <si>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</si>
  <si>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</si>
  <si>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</si>
  <si>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</si>
  <si>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</si>
  <si>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</si>
  <si>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</si>
  <si>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</si>
  <si>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</si>
  <si>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</si>
  <si>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</si>
  <si>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</si>
  <si>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</si>
  <si>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</si>
  <si>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</si>
  <si>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</si>
  <si>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</si>
  <si>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</si>
  <si>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</si>
  <si>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</si>
  <si>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</si>
  <si>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</si>
  <si>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</si>
  <si>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</si>
  <si>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</si>
  <si>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</si>
  <si>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</si>
  <si>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</si>
  <si>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</si>
  <si>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</si>
  <si>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</si>
  <si>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</si>
  <si>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</si>
  <si>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</si>
  <si>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</si>
  <si>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</si>
  <si>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</si>
  <si>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</si>
  <si>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</si>
  <si>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</si>
  <si>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</si>
  <si>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</si>
  <si>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</si>
  <si>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</si>
  <si>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</si>
  <si>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</si>
  <si>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</si>
  <si>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</si>
  <si>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</si>
  <si>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</si>
  <si>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</si>
  <si>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</si>
  <si>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</si>
  <si>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</si>
  <si>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</si>
  <si>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</si>
  <si>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</si>
  <si>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</si>
  <si>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</si>
  <si>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</si>
  <si>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</si>
  <si>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</si>
  <si>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</si>
  <si>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</si>
  <si>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</si>
  <si>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</si>
  <si>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</si>
  <si>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</si>
  <si>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</si>
  <si>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</si>
  <si>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</si>
  <si>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</si>
  <si>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</si>
  <si>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</si>
  <si>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</si>
  <si>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</si>
  <si>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</si>
  <si>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</si>
  <si>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</si>
  <si>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</si>
  <si>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</si>
  <si>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</si>
  <si>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</si>
  <si>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</si>
  <si>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</si>
  <si>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</si>
  <si>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</si>
  <si>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</si>
  <si>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</si>
  <si>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</si>
  <si>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</si>
  <si>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</si>
  <si>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</si>
  <si>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</si>
  <si>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</si>
  <si>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</si>
  <si>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</si>
  <si>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</si>
  <si>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</si>
  <si>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</si>
  <si>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</si>
  <si>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</si>
  <si>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</si>
  <si>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</si>
  <si>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</si>
  <si>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</si>
  <si>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</si>
  <si>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</si>
  <si>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</si>
  <si>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</si>
  <si>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</si>
  <si>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</si>
  <si>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</si>
  <si>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</si>
  <si>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</si>
  <si>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</si>
  <si>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</si>
  <si>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</si>
  <si>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</si>
  <si>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</si>
  <si>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</si>
  <si>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</si>
  <si>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</si>
  <si>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</si>
  <si>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</si>
  <si>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</si>
  <si>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</si>
  <si>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</si>
  <si>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</si>
  <si>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</si>
  <si>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</si>
  <si>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</si>
  <si>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</si>
  <si>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</si>
  <si>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</si>
  <si>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</si>
  <si>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</si>
  <si>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</si>
  <si>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</si>
  <si>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</si>
  <si>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</si>
  <si>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</si>
  <si>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</si>
  <si>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</si>
  <si>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</si>
  <si>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</si>
  <si>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</si>
  <si>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</si>
  <si>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</si>
  <si>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</si>
  <si>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</si>
  <si>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</si>
  <si>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</si>
  <si>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</si>
  <si>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</si>
  <si>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</si>
  <si>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</si>
  <si>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</si>
  <si>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</si>
  <si>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</si>
  <si>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</si>
  <si>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</si>
  <si>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</si>
  <si>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</si>
  <si>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</si>
  <si>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</si>
  <si>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</si>
  <si>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</si>
  <si>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</si>
  <si>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</si>
  <si>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</si>
  <si>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</si>
  <si>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</si>
  <si>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</si>
  <si>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</si>
  <si>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</si>
  <si>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</si>
  <si>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</si>
  <si>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</si>
  <si>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</si>
  <si>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</si>
  <si>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</si>
  <si>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</si>
  <si>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</si>
  <si>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</si>
  <si>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</si>
  <si>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</si>
  <si>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</si>
  <si>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</si>
  <si>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</si>
  <si>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</si>
  <si>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</si>
  <si>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</si>
  <si>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</si>
  <si>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</si>
  <si>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</si>
  <si>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</si>
  <si>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</si>
  <si>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</si>
  <si>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</si>
  <si>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</si>
  <si>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</si>
  <si>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</si>
  <si>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</si>
  <si>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</si>
  <si>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</si>
  <si>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</si>
  <si>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</si>
  <si>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</si>
  <si>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</si>
  <si>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</si>
  <si>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</si>
  <si>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</si>
  <si>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</si>
  <si>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</si>
  <si>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</si>
  <si>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</si>
  <si>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</si>
  <si>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</si>
  <si>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</si>
  <si>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</si>
  <si>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</si>
  <si>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</si>
  <si>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</si>
  <si>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</si>
  <si>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</si>
  <si>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</si>
  <si>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</si>
  <si>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</si>
  <si>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</si>
  <si>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</si>
  <si>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</si>
  <si>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</si>
  <si>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</si>
  <si>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</si>
  <si>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</si>
  <si>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</si>
  <si>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</si>
  <si>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</si>
  <si>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</si>
  <si>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</si>
  <si>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</si>
  <si>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</si>
  <si>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</si>
  <si>
    <t>栗本鉄工所</t>
  </si>
  <si>
    <t>キーエンス</t>
  </si>
  <si>
    <t>東京計器</t>
  </si>
  <si>
    <t>三井Ｅ＆Ｓ</t>
  </si>
  <si>
    <t>古河電工</t>
  </si>
  <si>
    <t>285A</t>
  </si>
  <si>
    <t>キオクシアホールディングス</t>
  </si>
  <si>
    <t>積水ハウス</t>
  </si>
  <si>
    <t>-</t>
    <phoneticPr fontId="18"/>
  </si>
  <si>
    <t>ｓａｎｔｅｃ　Ｈｏｌｄｉｎｇｓ</t>
  </si>
  <si>
    <t>ディスコ</t>
  </si>
  <si>
    <t>ＡＣＳＬ</t>
  </si>
  <si>
    <t>-</t>
    <phoneticPr fontId="18"/>
  </si>
  <si>
    <t>ハーモニック・ドライブ・シス</t>
  </si>
  <si>
    <t>関電工</t>
  </si>
  <si>
    <t>リクルートホールディングス</t>
  </si>
  <si>
    <t>ＳＷＣＣ</t>
  </si>
  <si>
    <t>アドバンテスト</t>
  </si>
  <si>
    <t>フェローテック</t>
  </si>
  <si>
    <t>ナブテスコ</t>
  </si>
  <si>
    <t>ふくおかフィナンシャルＧ</t>
  </si>
  <si>
    <t>三菱電機</t>
  </si>
  <si>
    <t>-</t>
    <phoneticPr fontId="18"/>
  </si>
  <si>
    <t>ダイキン工業</t>
  </si>
  <si>
    <t>双日</t>
    <rPh sb="0" eb="2">
      <t>ソウジツ</t>
    </rPh>
    <phoneticPr fontId="18"/>
  </si>
  <si>
    <t>ＮＦＪ－ＲＥＩＴ</t>
  </si>
  <si>
    <t>サイバーセキュリティクラウド</t>
  </si>
  <si>
    <t>ミネベアミツミ</t>
  </si>
  <si>
    <t>SPCX</t>
    <phoneticPr fontId="18"/>
  </si>
  <si>
    <t>SPACEX</t>
    <phoneticPr fontId="18"/>
  </si>
  <si>
    <t>-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</si>
</sst>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177" fontId="0" fillId="0" borderId="10" xfId="1" applyNumberFormat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zoomScale="80" zoomScaleNormal="80" workbookViewId="0">
      <selection activeCell="F14" sqref="F14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9" t="s">
        <v>213</v>
      </c>
      <c r="C1" s="59"/>
      <c r="D1" s="59"/>
      <c r="E1" s="59"/>
      <c r="F1" s="59" t="s">
        <v>216</v>
      </c>
      <c r="G1" s="59"/>
      <c r="H1" s="59"/>
      <c r="I1" s="59"/>
      <c r="J1" s="59"/>
      <c r="K1" s="59" t="s">
        <v>218</v>
      </c>
      <c r="L1" s="59"/>
      <c r="M1" s="59"/>
      <c r="N1" s="59"/>
      <c r="O1" s="65" t="s">
        <v>302</v>
      </c>
      <c r="P1" s="66"/>
      <c r="Q1" s="66"/>
      <c r="R1" s="67"/>
      <c r="S1" s="37" t="s">
        <v>219</v>
      </c>
      <c r="U1" s="48" t="s">
        <v>361</v>
      </c>
      <c r="V1" s="48" t="s">
        <v>362</v>
      </c>
    </row>
    <row r="2" spans="1:22" x14ac:dyDescent="0.45">
      <c r="B2" s="55" t="s">
        <v>212</v>
      </c>
      <c r="C2" s="55"/>
      <c r="D2" s="55" t="s">
        <v>211</v>
      </c>
      <c r="E2" s="57" t="s">
        <v>214</v>
      </c>
      <c r="F2" s="55" t="s">
        <v>212</v>
      </c>
      <c r="G2" s="55"/>
      <c r="H2" s="55" t="s">
        <v>211</v>
      </c>
      <c r="I2" s="57" t="s">
        <v>214</v>
      </c>
      <c r="J2" s="62" t="s">
        <v>217</v>
      </c>
      <c r="K2" s="55" t="s">
        <v>212</v>
      </c>
      <c r="L2" s="55"/>
      <c r="M2" s="57" t="s">
        <v>214</v>
      </c>
      <c r="N2" s="62" t="s">
        <v>217</v>
      </c>
      <c r="O2" s="63" t="s">
        <v>212</v>
      </c>
      <c r="P2" s="64"/>
      <c r="Q2" s="57" t="s">
        <v>214</v>
      </c>
      <c r="R2" s="62" t="s">
        <v>217</v>
      </c>
      <c r="S2" s="61" t="s">
        <v>214</v>
      </c>
      <c r="U2" s="49">
        <v>44145</v>
      </c>
      <c r="V2" s="49">
        <f ca="1">TODAY()</f>
        <v>46189</v>
      </c>
    </row>
    <row r="3" spans="1:2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5"/>
      <c r="I3" s="57"/>
      <c r="J3" s="57"/>
      <c r="K3" s="32" t="s">
        <v>206</v>
      </c>
      <c r="L3" s="32" t="s">
        <v>207</v>
      </c>
      <c r="M3" s="57"/>
      <c r="N3" s="57"/>
      <c r="O3" s="32" t="s">
        <v>206</v>
      </c>
      <c r="P3" s="32" t="s">
        <v>207</v>
      </c>
      <c r="Q3" s="57"/>
      <c r="R3" s="57"/>
      <c r="S3" s="61"/>
      <c r="U3" s="59" t="s">
        <v>363</v>
      </c>
      <c r="V3" s="59"/>
    </row>
    <row r="4" spans="1:22" x14ac:dyDescent="0.45">
      <c r="A4" s="34" t="s">
        <v>215</v>
      </c>
      <c r="B4" s="20">
        <f>SUM(B5:B100)</f>
        <v>2768600</v>
      </c>
      <c r="C4" s="20">
        <f>SUM(C5:C100)</f>
        <v>-49300</v>
      </c>
      <c r="D4" s="20">
        <f>SUM(D5:D100)</f>
        <v>477495</v>
      </c>
      <c r="E4" s="35">
        <f>SUM(B4:D4)</f>
        <v>3196795</v>
      </c>
      <c r="F4" s="20">
        <f>SUM(F5:F100)</f>
        <v>13397423</v>
      </c>
      <c r="G4" s="20">
        <f>SUM(G5:G100)</f>
        <v>-4570437</v>
      </c>
      <c r="H4" s="20">
        <f>SUM(H5:H100)</f>
        <v>850810</v>
      </c>
      <c r="I4" s="35">
        <f>SUM(F4:H4)</f>
        <v>9677796</v>
      </c>
      <c r="J4" s="35">
        <f>SUM(J5:J100)</f>
        <v>7711751.7425999995</v>
      </c>
      <c r="K4" s="20">
        <f>SUM(K5:K100)</f>
        <v>474248</v>
      </c>
      <c r="L4" s="20">
        <f>SUM(L5:L100)</f>
        <v>-678053</v>
      </c>
      <c r="M4" s="35">
        <f>SUM(K4:L4)</f>
        <v>-203805</v>
      </c>
      <c r="N4" s="35">
        <f>SUM(N5:N100)</f>
        <v>-258697.95835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10801423.99755</v>
      </c>
      <c r="U4" s="60">
        <f ca="1">(V2-U2)/365</f>
        <v>5.6</v>
      </c>
      <c r="V4" s="60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SUMIFS(国内株式_NISA_配当!$K$2:$K$1004,国内株式_NISA_配当!$A$2:$A$1004,"&gt;=2021/1/1",国内株式_NISA_配当!$A$2:$A$1004,"&lt;=2021/12/31")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SUMIFS(投資信託!$K$2:$K$1033,投資信託!$B$2:$B$1033,"&gt;=2021/1/1",投資信託!$B$2:$B$1033,"&lt;=2021/12/31",投資信託!$K$2:$K$1033,"&gt;=0")</f>
        <v>7366</v>
      </c>
      <c r="P5" s="19">
        <f>SUMIFS(投資信託!$K$2:$K$1033,投資信託!$B$2:$B$1033,"&gt;=2021/1/1",投資信託!$B$2:$B$1033,"&lt;=2021/12/31",投資信託!$K$2:$K$1033,"&lt;0")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SUMIFS(国内株式_NISA_配当!$K$2:$K$1004,国内株式_NISA_配当!$A$2:$A$1004,"&gt;=2022/1/1",国内株式_NISA_配当!$A$2:$A$1004,"&lt;=2022/12/31")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SUMIFS(投資信託!$K$2:$K$1033,投資信託!$B$2:$B$1033,"&gt;=2022/1/1",投資信託!$B$2:$B$1033,"&lt;=2022/12/31",投資信託!$K$2:$K$1033,"&gt;=0")</f>
        <v>0</v>
      </c>
      <c r="P6" s="19">
        <f>SUMIFS(投資信託!$K$2:$K$1033,投資信託!$B$2:$B$1033,"&gt;=2022/1/1",投資信託!$B$2:$B$1033,"&lt;=2022/12/31",投資信託!$K$2:$K$1033,"&lt;0")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SUMIFS(国内株式_NISA_配当!$K$2:$K$1004,国内株式_NISA_配当!$A$2:$A$1004,"&gt;=2023/1/1",国内株式_NISA_配当!$A$2:$A$1004,"&lt;=2023/12/31")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SUMIFS(投資信託!$K$2:$K$1033,投資信託!$B$2:$B$1033,"&gt;=2023/1/1",投資信託!$B$2:$B$1033,"&lt;=2023/12/31",投資信託!$K$2:$K$1033,"&gt;=0")</f>
        <v>0</v>
      </c>
      <c r="P7" s="19">
        <f>SUMIFS(投資信託!$K$2:$K$1033,投資信託!$B$2:$B$1033,"&gt;=2023/1/1",投資信託!$B$2:$B$1033,"&lt;=2023/12/31",投資信託!$K$2:$K$1033,"&lt;0")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SUMIFS(国内株式_NISA_配当!$K$2:$K$1004,国内株式_NISA_配当!$A$2:$A$1004,"&gt;=2024/1/1",国内株式_NISA_配当!$A$2:$A$1004,"&lt;=2024/12/31")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SUMIFS(投資信託!$K$2:$K$1033,投資信託!$B$2:$B$1033,"&gt;=2024/1/1",投資信託!$B$2:$B$1033,"&lt;=2024/12/31",投資信託!$K$2:$K$1033,"&gt;=0")</f>
        <v>0</v>
      </c>
      <c r="P8" s="19">
        <f>SUMIFS(投資信託!$K$2:$K$1033,投資信託!$B$2:$B$1033,"&gt;=2024/1/1",投資信託!$B$2:$B$1033,"&lt;=2024/12/31",投資信託!$K$2:$K$1033,"&lt;0")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SUMIFS(国内株式_NISA_配当!$K$2:$K$1004,国内株式_NISA_配当!$A$2:$A$1004,"&gt;=2025/1/1",国内株式_NISA_配当!$A$2:$A$1004,"&lt;=2025/12/31")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SUMIFS(投資信託!$K$2:$K$1033,投資信託!$B$2:$B$1033,"&gt;=2025/1/1",投資信託!$B$2:$B$1033,"&lt;=2025/12/31",投資信託!$K$2:$K$1033,"&gt;=0")</f>
        <v>185421</v>
      </c>
      <c r="P9" s="19">
        <f>SUMIFS(投資信託!$K$2:$K$1033,投資信託!$B$2:$B$1033,"&gt;=2025/1/1",投資信託!$B$2:$B$1033,"&lt;=2025/12/31",投資信託!$K$2:$K$1033,"&lt;0")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0</v>
      </c>
      <c r="D10" s="19">
        <f>SUMIFS(国内株式_NISA_配当!$K$2:$K$1004,国内株式_NISA_配当!$A$2:$A$1004,"&gt;=2026/1/1",国内株式_NISA_配当!$A$2:$A$1004,"&lt;=2026/12/31")</f>
        <v>27200</v>
      </c>
      <c r="E10" s="35">
        <f t="shared" si="7"/>
        <v>27200</v>
      </c>
      <c r="F10" s="19">
        <f>SUMIFS(国内株式_特定!$N$2:$N$998,国内株式_特定!$B$2:$B$998,"&gt;=2026/1/1",国内株式_特定!$B$2:$B$998,"&lt;=2026/12/31",国内株式_特定!$N$2:$N$998,"&gt;=0")</f>
        <v>5751030</v>
      </c>
      <c r="G10" s="19">
        <f>SUMIFS(国内株式_特定!$N$2:$N$998,国内株式_特定!$B$2:$B$998,"&gt;=2026/1/1",国内株式_特定!$B$2:$B$998,"&lt;=2026/12/31",国内株式_特定!$N$2:$N$998,"&lt;0")</f>
        <v>-1145138</v>
      </c>
      <c r="H10" s="19">
        <f>SUMIFS(国内株式_特定_配当!$H$2:$H$999,国内株式_特定_配当!$A$2:$A$999,"&gt;=2026/1/1",国内株式_特定_配当!$A$2:$A$999,"&lt;=2026/12/31")</f>
        <v>48655</v>
      </c>
      <c r="I10" s="35">
        <f t="shared" si="11"/>
        <v>4654547</v>
      </c>
      <c r="J10" s="36">
        <f t="shared" si="1"/>
        <v>3708975.7769499999</v>
      </c>
      <c r="K10" s="19">
        <f>SUMIFS(国内株式_信用!$P$2:$P$1000,国内株式_信用!$B$2:$B$1000,"&gt;=2026/1/1",国内株式_信用!$B$2:$B$1000,"&lt;=2026/12/31",国内株式_信用!$P$2:$P$1000,"&gt;=0")</f>
        <v>263900</v>
      </c>
      <c r="L10" s="19">
        <f>SUMIFS(国内株式_信用!$P$2:$P$1000,国内株式_信用!$B$2:$B$1000,"&gt;=2026/1/1",国内株式_信用!$B$2:$B$1000,"&lt;=2026/12/31",国内株式_信用!$P$2:$P$1000,"&lt;0")</f>
        <v>-3810</v>
      </c>
      <c r="M10" s="35">
        <f t="shared" si="12"/>
        <v>260090</v>
      </c>
      <c r="N10" s="36">
        <f t="shared" si="13"/>
        <v>207252.71650000001</v>
      </c>
      <c r="O10" s="19">
        <f>SUMIFS(投資信託!$K$2:$K$1033,投資信託!$B$2:$B$1033,"&gt;=2026/1/1",投資信託!$B$2:$B$1033,"&lt;=2026/12/31",投資信託!$K$2:$K$1033,"&gt;=0")</f>
        <v>0</v>
      </c>
      <c r="P10" s="19">
        <f>SUMIFS(投資信託!$K$2:$K$1033,投資信託!$B$2:$B$1033,"&gt;=2026/1/1",投資信託!$B$2:$B$1033,"&lt;=2026/12/31",投資信託!$K$2:$K$1033,"&lt;0")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3943428.49345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  <mergeCell ref="D2:D3"/>
    <mergeCell ref="B2:C2"/>
    <mergeCell ref="E2:E3"/>
    <mergeCell ref="B1:E1"/>
    <mergeCell ref="F2:G2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9" t="s">
        <v>417</v>
      </c>
      <c r="C1" s="59"/>
      <c r="D1" s="59"/>
      <c r="E1" s="59"/>
      <c r="F1" s="59" t="s">
        <v>416</v>
      </c>
      <c r="G1" s="59"/>
      <c r="H1" s="59"/>
      <c r="I1" s="59"/>
      <c r="J1" s="59"/>
      <c r="K1" s="69" t="s">
        <v>219</v>
      </c>
      <c r="L1" s="69"/>
    </row>
    <row r="2" spans="1:12" x14ac:dyDescent="0.45">
      <c r="B2" s="55" t="s">
        <v>212</v>
      </c>
      <c r="C2" s="55"/>
      <c r="D2" s="68" t="s">
        <v>418</v>
      </c>
      <c r="E2" s="57" t="s">
        <v>214</v>
      </c>
      <c r="F2" s="55" t="s">
        <v>212</v>
      </c>
      <c r="G2" s="55"/>
      <c r="H2" s="68" t="s">
        <v>418</v>
      </c>
      <c r="I2" s="57" t="s">
        <v>214</v>
      </c>
      <c r="J2" s="62" t="s">
        <v>217</v>
      </c>
      <c r="K2" s="61" t="s">
        <v>214</v>
      </c>
      <c r="L2" s="70" t="s">
        <v>418</v>
      </c>
    </row>
    <row r="3" spans="1:1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6"/>
      <c r="I3" s="57"/>
      <c r="J3" s="57"/>
      <c r="K3" s="61"/>
      <c r="L3" s="71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2"/>
  <sheetViews>
    <sheetView zoomScaleNormal="100" workbookViewId="0">
      <pane xSplit="4" ySplit="1" topLeftCell="K48" activePane="bottomRight" state="frozen"/>
      <selection pane="topRight" activeCell="E1" sqref="E1"/>
      <selection pane="bottomLeft" activeCell="A2" sqref="A2"/>
      <selection pane="bottomRight" activeCell="D66" sqref="D66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2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63"/>
  <sheetViews>
    <sheetView zoomScale="80" zoomScaleNormal="80" workbookViewId="0">
      <pane ySplit="1" topLeftCell="A41" activePane="bottomLeft" state="frozen"/>
      <selection pane="bottomLeft" activeCell="A29" sqref="A29:XFD29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3" si="0">F2*G2</f>
        <v>1600</v>
      </c>
      <c r="I2" s="19">
        <v>0</v>
      </c>
      <c r="J2" s="19">
        <f t="shared" ref="J2:J33" si="1">H2-I2</f>
        <v>1600</v>
      </c>
      <c r="K2" s="19">
        <f t="shared" ref="K2:K33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45992</v>
      </c>
      <c r="B5" s="5" t="s">
        <v>50</v>
      </c>
      <c r="C5" s="5" t="s">
        <v>257</v>
      </c>
      <c r="D5" s="5">
        <v>4204</v>
      </c>
      <c r="E5" s="9" t="s">
        <v>300</v>
      </c>
      <c r="F5" s="9">
        <v>40</v>
      </c>
      <c r="G5" s="5">
        <v>500</v>
      </c>
      <c r="H5" s="19">
        <f t="shared" si="0"/>
        <v>20000</v>
      </c>
      <c r="I5" s="19">
        <v>0</v>
      </c>
      <c r="J5" s="19">
        <f t="shared" si="1"/>
        <v>20000</v>
      </c>
      <c r="K5" s="19">
        <f t="shared" si="2"/>
        <v>20000</v>
      </c>
    </row>
    <row r="6" spans="1:11" x14ac:dyDescent="0.45">
      <c r="A6" s="4">
        <v>45001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85</v>
      </c>
      <c r="G6" s="5">
        <v>100</v>
      </c>
      <c r="H6" s="19">
        <f t="shared" si="0"/>
        <v>8500</v>
      </c>
      <c r="I6" s="19">
        <v>0</v>
      </c>
      <c r="J6" s="19">
        <f t="shared" si="1"/>
        <v>8500</v>
      </c>
      <c r="K6" s="19">
        <f t="shared" si="2"/>
        <v>8500</v>
      </c>
    </row>
    <row r="7" spans="1:11" x14ac:dyDescent="0.45">
      <c r="A7" s="4">
        <v>45365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61</v>
      </c>
      <c r="G7" s="5">
        <v>100</v>
      </c>
      <c r="H7" s="19">
        <f t="shared" si="0"/>
        <v>6100</v>
      </c>
      <c r="I7" s="19">
        <v>0</v>
      </c>
      <c r="J7" s="19">
        <f t="shared" si="1"/>
        <v>6100</v>
      </c>
      <c r="K7" s="19">
        <f t="shared" si="2"/>
        <v>6100</v>
      </c>
    </row>
    <row r="8" spans="1:11" x14ac:dyDescent="0.45">
      <c r="A8" s="4">
        <v>45547</v>
      </c>
      <c r="B8" s="5" t="s">
        <v>50</v>
      </c>
      <c r="C8" s="5" t="s">
        <v>258</v>
      </c>
      <c r="D8" s="5">
        <v>4324</v>
      </c>
      <c r="E8" s="9" t="s">
        <v>182</v>
      </c>
      <c r="F8" s="9">
        <v>69.75</v>
      </c>
      <c r="G8" s="5">
        <v>100</v>
      </c>
      <c r="H8" s="19">
        <f t="shared" si="0"/>
        <v>6975</v>
      </c>
      <c r="I8" s="19">
        <v>0</v>
      </c>
      <c r="J8" s="19">
        <f t="shared" si="1"/>
        <v>6975</v>
      </c>
      <c r="K8" s="19">
        <f t="shared" si="2"/>
        <v>6975</v>
      </c>
    </row>
    <row r="9" spans="1:11" x14ac:dyDescent="0.45">
      <c r="A9" s="4">
        <v>44742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1828</v>
      </c>
      <c r="J9" s="19">
        <f t="shared" si="1"/>
        <v>7172</v>
      </c>
      <c r="K9" s="19">
        <f t="shared" si="2"/>
        <v>7172</v>
      </c>
    </row>
    <row r="10" spans="1:11" x14ac:dyDescent="0.45">
      <c r="A10" s="4">
        <v>44896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45106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90</v>
      </c>
      <c r="G11" s="5">
        <v>100</v>
      </c>
      <c r="H11" s="19">
        <f t="shared" si="0"/>
        <v>9000</v>
      </c>
      <c r="I11" s="19">
        <v>0</v>
      </c>
      <c r="J11" s="19">
        <f t="shared" si="1"/>
        <v>9000</v>
      </c>
      <c r="K11" s="19">
        <f t="shared" si="2"/>
        <v>9000</v>
      </c>
    </row>
    <row r="12" spans="1:11" x14ac:dyDescent="0.45">
      <c r="A12" s="4">
        <v>45261</v>
      </c>
      <c r="B12" s="5" t="s">
        <v>50</v>
      </c>
      <c r="C12" s="5" t="s">
        <v>258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257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45470</v>
      </c>
      <c r="B14" s="5" t="s">
        <v>50</v>
      </c>
      <c r="C14" s="5" t="s">
        <v>258</v>
      </c>
      <c r="D14" s="5">
        <v>4502</v>
      </c>
      <c r="E14" s="9" t="s">
        <v>42</v>
      </c>
      <c r="F14" s="9">
        <v>94</v>
      </c>
      <c r="G14" s="5">
        <v>100</v>
      </c>
      <c r="H14" s="19">
        <f t="shared" si="0"/>
        <v>9400</v>
      </c>
      <c r="I14" s="19">
        <v>0</v>
      </c>
      <c r="J14" s="19">
        <f t="shared" si="1"/>
        <v>9400</v>
      </c>
      <c r="K14" s="19">
        <f t="shared" si="2"/>
        <v>9400</v>
      </c>
    </row>
    <row r="15" spans="1:11" x14ac:dyDescent="0.45">
      <c r="A15" s="4">
        <v>45628</v>
      </c>
      <c r="B15" s="5" t="s">
        <v>50</v>
      </c>
      <c r="C15" s="5" t="s">
        <v>257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45628</v>
      </c>
      <c r="B16" s="5" t="s">
        <v>50</v>
      </c>
      <c r="C16" s="5" t="s">
        <v>258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257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45834</v>
      </c>
      <c r="B18" s="5" t="s">
        <v>50</v>
      </c>
      <c r="C18" s="5" t="s">
        <v>258</v>
      </c>
      <c r="D18" s="5">
        <v>4502</v>
      </c>
      <c r="E18" s="9" t="s">
        <v>42</v>
      </c>
      <c r="F18" s="9">
        <v>98</v>
      </c>
      <c r="G18" s="5">
        <v>100</v>
      </c>
      <c r="H18" s="19">
        <f t="shared" si="0"/>
        <v>9800</v>
      </c>
      <c r="I18" s="19">
        <v>0</v>
      </c>
      <c r="J18" s="19">
        <f t="shared" si="1"/>
        <v>9800</v>
      </c>
      <c r="K18" s="31">
        <f t="shared" si="2"/>
        <v>9800</v>
      </c>
    </row>
    <row r="19" spans="1:11" x14ac:dyDescent="0.45">
      <c r="A19" s="4">
        <v>45992</v>
      </c>
      <c r="B19" s="5" t="s">
        <v>50</v>
      </c>
      <c r="C19" s="5" t="s">
        <v>258</v>
      </c>
      <c r="D19" s="5">
        <v>4502</v>
      </c>
      <c r="E19" s="9" t="s">
        <v>42</v>
      </c>
      <c r="F19" s="9">
        <v>100</v>
      </c>
      <c r="G19" s="5">
        <v>100</v>
      </c>
      <c r="H19" s="19">
        <f t="shared" si="0"/>
        <v>10000</v>
      </c>
      <c r="I19" s="19">
        <v>0</v>
      </c>
      <c r="J19" s="19">
        <f t="shared" si="1"/>
        <v>10000</v>
      </c>
      <c r="K19" s="31">
        <f t="shared" si="2"/>
        <v>10000</v>
      </c>
    </row>
    <row r="20" spans="1:11" x14ac:dyDescent="0.45">
      <c r="A20" s="4">
        <v>45992</v>
      </c>
      <c r="B20" s="5" t="s">
        <v>50</v>
      </c>
      <c r="C20" s="5" t="s">
        <v>257</v>
      </c>
      <c r="D20" s="5">
        <v>4502</v>
      </c>
      <c r="E20" s="9" t="s">
        <v>42</v>
      </c>
      <c r="F20" s="9">
        <v>100</v>
      </c>
      <c r="G20" s="5">
        <v>100</v>
      </c>
      <c r="H20" s="19">
        <f t="shared" si="0"/>
        <v>10000</v>
      </c>
      <c r="I20" s="19">
        <v>0</v>
      </c>
      <c r="J20" s="19">
        <f t="shared" si="1"/>
        <v>10000</v>
      </c>
      <c r="K20" s="31">
        <f t="shared" si="2"/>
        <v>10000</v>
      </c>
    </row>
    <row r="21" spans="1:11" x14ac:dyDescent="0.45">
      <c r="A21" s="4">
        <v>46003</v>
      </c>
      <c r="B21" s="5" t="s">
        <v>50</v>
      </c>
      <c r="C21" s="5" t="s">
        <v>257</v>
      </c>
      <c r="D21" s="5">
        <v>4732</v>
      </c>
      <c r="E21" s="6" t="s">
        <v>331</v>
      </c>
      <c r="F21" s="9">
        <v>252</v>
      </c>
      <c r="G21" s="5">
        <v>100</v>
      </c>
      <c r="H21" s="19">
        <f t="shared" si="0"/>
        <v>25200</v>
      </c>
      <c r="I21" s="19">
        <v>0</v>
      </c>
      <c r="J21" s="19">
        <f t="shared" si="1"/>
        <v>25200</v>
      </c>
      <c r="K21" s="19">
        <f t="shared" si="2"/>
        <v>25200</v>
      </c>
    </row>
    <row r="22" spans="1:11" x14ac:dyDescent="0.45">
      <c r="A22" s="4">
        <v>44372</v>
      </c>
      <c r="B22" s="5" t="s">
        <v>50</v>
      </c>
      <c r="C22" s="5" t="s">
        <v>258</v>
      </c>
      <c r="D22" s="5">
        <v>4917</v>
      </c>
      <c r="E22" s="9" t="s">
        <v>27</v>
      </c>
      <c r="F22" s="9">
        <v>16</v>
      </c>
      <c r="G22" s="5">
        <v>100</v>
      </c>
      <c r="H22" s="19">
        <f t="shared" si="0"/>
        <v>1600</v>
      </c>
      <c r="I22" s="19">
        <v>0</v>
      </c>
      <c r="J22" s="19">
        <f t="shared" si="1"/>
        <v>1600</v>
      </c>
      <c r="K22" s="19">
        <f t="shared" si="2"/>
        <v>1600</v>
      </c>
    </row>
    <row r="23" spans="1:11" x14ac:dyDescent="0.45">
      <c r="A23" s="4">
        <v>44531</v>
      </c>
      <c r="B23" s="5" t="s">
        <v>50</v>
      </c>
      <c r="C23" s="5" t="s">
        <v>258</v>
      </c>
      <c r="D23" s="5">
        <v>4917</v>
      </c>
      <c r="E23" s="9" t="s">
        <v>27</v>
      </c>
      <c r="F23" s="9">
        <v>18</v>
      </c>
      <c r="G23" s="5">
        <v>100</v>
      </c>
      <c r="H23" s="19">
        <f t="shared" si="0"/>
        <v>1800</v>
      </c>
      <c r="I23" s="19">
        <v>0</v>
      </c>
      <c r="J23" s="19">
        <f t="shared" si="1"/>
        <v>1800</v>
      </c>
      <c r="K23" s="19">
        <f t="shared" si="2"/>
        <v>1800</v>
      </c>
    </row>
    <row r="24" spans="1:11" x14ac:dyDescent="0.45">
      <c r="A24" s="4">
        <v>45267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80</v>
      </c>
      <c r="G24" s="5">
        <v>100</v>
      </c>
      <c r="H24" s="19">
        <f t="shared" si="0"/>
        <v>8000</v>
      </c>
      <c r="I24" s="19">
        <v>0</v>
      </c>
      <c r="J24" s="19">
        <f t="shared" si="1"/>
        <v>8000</v>
      </c>
      <c r="K24" s="19">
        <f t="shared" si="2"/>
        <v>8000</v>
      </c>
    </row>
    <row r="25" spans="1:11" x14ac:dyDescent="0.45">
      <c r="A25" s="4">
        <v>45447</v>
      </c>
      <c r="B25" s="5" t="s">
        <v>50</v>
      </c>
      <c r="C25" s="5" t="s">
        <v>258</v>
      </c>
      <c r="D25" s="5">
        <v>5019</v>
      </c>
      <c r="E25" s="9" t="s">
        <v>188</v>
      </c>
      <c r="F25" s="9">
        <v>16</v>
      </c>
      <c r="G25" s="5">
        <v>500</v>
      </c>
      <c r="H25" s="19">
        <f t="shared" si="0"/>
        <v>8000</v>
      </c>
      <c r="I25" s="19">
        <v>0</v>
      </c>
      <c r="J25" s="19">
        <f t="shared" si="1"/>
        <v>8000</v>
      </c>
      <c r="K25" s="19">
        <f t="shared" si="2"/>
        <v>8000</v>
      </c>
    </row>
    <row r="26" spans="1:11" x14ac:dyDescent="0.45">
      <c r="A26" s="4">
        <v>45632</v>
      </c>
      <c r="B26" s="5" t="s">
        <v>50</v>
      </c>
      <c r="C26" s="5" t="s">
        <v>258</v>
      </c>
      <c r="D26" s="5">
        <v>5019</v>
      </c>
      <c r="E26" s="9" t="s">
        <v>188</v>
      </c>
      <c r="F26" s="9">
        <v>18</v>
      </c>
      <c r="G26" s="5">
        <v>500</v>
      </c>
      <c r="H26" s="19">
        <f t="shared" si="0"/>
        <v>9000</v>
      </c>
      <c r="I26" s="19">
        <v>0</v>
      </c>
      <c r="J26" s="19">
        <f t="shared" si="1"/>
        <v>9000</v>
      </c>
      <c r="K26" s="19">
        <f t="shared" si="2"/>
        <v>9000</v>
      </c>
    </row>
    <row r="27" spans="1:11" x14ac:dyDescent="0.45">
      <c r="A27" s="4">
        <v>45812</v>
      </c>
      <c r="B27" s="5" t="s">
        <v>50</v>
      </c>
      <c r="C27" s="5" t="s">
        <v>258</v>
      </c>
      <c r="D27" s="5">
        <v>5019</v>
      </c>
      <c r="E27" s="9" t="s">
        <v>188</v>
      </c>
      <c r="F27" s="9">
        <v>18</v>
      </c>
      <c r="G27" s="5">
        <v>500</v>
      </c>
      <c r="H27" s="19">
        <f t="shared" si="0"/>
        <v>9000</v>
      </c>
      <c r="I27" s="19">
        <v>0</v>
      </c>
      <c r="J27" s="19">
        <f t="shared" si="1"/>
        <v>9000</v>
      </c>
      <c r="K27" s="19">
        <f t="shared" si="2"/>
        <v>9000</v>
      </c>
    </row>
    <row r="28" spans="1:11" x14ac:dyDescent="0.45">
      <c r="A28" s="4">
        <v>45996</v>
      </c>
      <c r="B28" s="5" t="s">
        <v>50</v>
      </c>
      <c r="C28" s="5" t="s">
        <v>258</v>
      </c>
      <c r="D28" s="5">
        <v>5019</v>
      </c>
      <c r="E28" s="9" t="s">
        <v>188</v>
      </c>
      <c r="F28" s="9">
        <v>18</v>
      </c>
      <c r="G28" s="5">
        <v>500</v>
      </c>
      <c r="H28" s="19">
        <f t="shared" si="0"/>
        <v>9000</v>
      </c>
      <c r="I28" s="19">
        <v>0</v>
      </c>
      <c r="J28" s="19">
        <f t="shared" si="1"/>
        <v>9000</v>
      </c>
      <c r="K28" s="19">
        <f t="shared" si="2"/>
        <v>9000</v>
      </c>
    </row>
    <row r="29" spans="1:11" x14ac:dyDescent="0.45">
      <c r="A29" s="4">
        <v>46176</v>
      </c>
      <c r="B29" s="5" t="s">
        <v>50</v>
      </c>
      <c r="C29" s="5" t="s">
        <v>258</v>
      </c>
      <c r="D29" s="5">
        <v>5019</v>
      </c>
      <c r="E29" s="9" t="s">
        <v>188</v>
      </c>
      <c r="F29" s="9">
        <v>18</v>
      </c>
      <c r="G29" s="5">
        <v>500</v>
      </c>
      <c r="H29" s="19">
        <f t="shared" si="0"/>
        <v>9000</v>
      </c>
      <c r="I29" s="19">
        <v>0</v>
      </c>
      <c r="J29" s="19">
        <f t="shared" si="1"/>
        <v>9000</v>
      </c>
      <c r="K29" s="19">
        <f t="shared" si="2"/>
        <v>9000</v>
      </c>
    </row>
    <row r="30" spans="1:11" x14ac:dyDescent="0.45">
      <c r="A30" s="4">
        <v>45016</v>
      </c>
      <c r="B30" s="5" t="s">
        <v>50</v>
      </c>
      <c r="C30" s="5" t="s">
        <v>258</v>
      </c>
      <c r="D30" s="5">
        <v>5201</v>
      </c>
      <c r="E30" s="6" t="s">
        <v>43</v>
      </c>
      <c r="F30" s="9">
        <v>105</v>
      </c>
      <c r="G30" s="5">
        <v>100</v>
      </c>
      <c r="H30" s="19">
        <f t="shared" si="0"/>
        <v>10500</v>
      </c>
      <c r="I30" s="19">
        <v>0</v>
      </c>
      <c r="J30" s="19">
        <f t="shared" si="1"/>
        <v>10500</v>
      </c>
      <c r="K30" s="19">
        <f t="shared" si="2"/>
        <v>10500</v>
      </c>
    </row>
    <row r="31" spans="1:11" x14ac:dyDescent="0.45">
      <c r="A31" s="4">
        <v>45177</v>
      </c>
      <c r="B31" s="5" t="s">
        <v>50</v>
      </c>
      <c r="C31" s="5" t="s">
        <v>258</v>
      </c>
      <c r="D31" s="5">
        <v>5201</v>
      </c>
      <c r="E31" s="6" t="s">
        <v>43</v>
      </c>
      <c r="F31" s="9">
        <v>105</v>
      </c>
      <c r="G31" s="5">
        <v>100</v>
      </c>
      <c r="H31" s="19">
        <f t="shared" si="0"/>
        <v>10500</v>
      </c>
      <c r="I31" s="19">
        <v>0</v>
      </c>
      <c r="J31" s="19">
        <f t="shared" si="1"/>
        <v>10500</v>
      </c>
      <c r="K31" s="19">
        <f t="shared" si="2"/>
        <v>10500</v>
      </c>
    </row>
    <row r="32" spans="1:11" x14ac:dyDescent="0.45">
      <c r="A32" s="4">
        <v>45380</v>
      </c>
      <c r="B32" s="5" t="s">
        <v>50</v>
      </c>
      <c r="C32" s="5" t="s">
        <v>258</v>
      </c>
      <c r="D32" s="5">
        <v>5201</v>
      </c>
      <c r="E32" s="6" t="s">
        <v>43</v>
      </c>
      <c r="F32" s="9">
        <v>105</v>
      </c>
      <c r="G32" s="5">
        <v>100</v>
      </c>
      <c r="H32" s="19">
        <f t="shared" si="0"/>
        <v>10500</v>
      </c>
      <c r="I32" s="19">
        <v>0</v>
      </c>
      <c r="J32" s="19">
        <f t="shared" si="1"/>
        <v>10500</v>
      </c>
      <c r="K32" s="19">
        <f t="shared" si="2"/>
        <v>10500</v>
      </c>
    </row>
    <row r="33" spans="1:11" x14ac:dyDescent="0.45">
      <c r="A33" s="4">
        <v>45541</v>
      </c>
      <c r="B33" s="5" t="s">
        <v>50</v>
      </c>
      <c r="C33" s="5" t="s">
        <v>258</v>
      </c>
      <c r="D33" s="5">
        <v>5201</v>
      </c>
      <c r="E33" s="6" t="s">
        <v>43</v>
      </c>
      <c r="F33" s="9">
        <v>105</v>
      </c>
      <c r="G33" s="5">
        <v>100</v>
      </c>
      <c r="H33" s="19">
        <f t="shared" si="0"/>
        <v>10500</v>
      </c>
      <c r="I33" s="19">
        <v>0</v>
      </c>
      <c r="J33" s="19">
        <f t="shared" si="1"/>
        <v>10500</v>
      </c>
      <c r="K33" s="19">
        <f t="shared" si="2"/>
        <v>10500</v>
      </c>
    </row>
    <row r="34" spans="1:11" x14ac:dyDescent="0.45">
      <c r="A34" s="4">
        <v>45747</v>
      </c>
      <c r="B34" s="5" t="s">
        <v>50</v>
      </c>
      <c r="C34" s="5" t="s">
        <v>258</v>
      </c>
      <c r="D34" s="5">
        <v>5201</v>
      </c>
      <c r="E34" s="6" t="s">
        <v>43</v>
      </c>
      <c r="F34" s="23">
        <v>105</v>
      </c>
      <c r="G34" s="5">
        <v>100</v>
      </c>
      <c r="H34" s="19">
        <f t="shared" ref="H34:H63" si="3">F34*G34</f>
        <v>10500</v>
      </c>
      <c r="I34" s="19">
        <v>0</v>
      </c>
      <c r="J34" s="19">
        <f t="shared" ref="J34:J63" si="4">H34-I34</f>
        <v>10500</v>
      </c>
      <c r="K34" s="19">
        <f t="shared" ref="K34:K63" si="5">J34</f>
        <v>10500</v>
      </c>
    </row>
    <row r="35" spans="1:11" x14ac:dyDescent="0.45">
      <c r="A35" s="4">
        <v>45908</v>
      </c>
      <c r="B35" s="5" t="s">
        <v>50</v>
      </c>
      <c r="C35" s="5" t="s">
        <v>258</v>
      </c>
      <c r="D35" s="5">
        <v>5201</v>
      </c>
      <c r="E35" s="6" t="s">
        <v>43</v>
      </c>
      <c r="F35" s="9">
        <v>105</v>
      </c>
      <c r="G35" s="5">
        <v>100</v>
      </c>
      <c r="H35" s="19">
        <f t="shared" si="3"/>
        <v>10500</v>
      </c>
      <c r="I35" s="19">
        <v>0</v>
      </c>
      <c r="J35" s="19">
        <f t="shared" si="4"/>
        <v>10500</v>
      </c>
      <c r="K35" s="19">
        <f t="shared" si="5"/>
        <v>10500</v>
      </c>
    </row>
    <row r="36" spans="1:11" x14ac:dyDescent="0.45">
      <c r="A36" s="4">
        <v>46150</v>
      </c>
      <c r="B36" s="5" t="s">
        <v>50</v>
      </c>
      <c r="C36" s="5" t="s">
        <v>257</v>
      </c>
      <c r="D36" s="5">
        <v>6506</v>
      </c>
      <c r="E36" s="9" t="s">
        <v>406</v>
      </c>
      <c r="F36" s="9">
        <v>34</v>
      </c>
      <c r="G36" s="5">
        <v>100</v>
      </c>
      <c r="H36" s="19">
        <f t="shared" si="3"/>
        <v>3400</v>
      </c>
      <c r="I36" s="19">
        <v>0</v>
      </c>
      <c r="J36" s="19">
        <f t="shared" si="4"/>
        <v>3400</v>
      </c>
      <c r="K36" s="19">
        <f t="shared" si="5"/>
        <v>3400</v>
      </c>
    </row>
    <row r="37" spans="1:11" x14ac:dyDescent="0.45">
      <c r="A37" s="4">
        <v>45448</v>
      </c>
      <c r="B37" s="5" t="s">
        <v>50</v>
      </c>
      <c r="C37" s="5" t="s">
        <v>257</v>
      </c>
      <c r="D37" s="5">
        <v>6526</v>
      </c>
      <c r="E37" s="9" t="s">
        <v>239</v>
      </c>
      <c r="F37" s="9">
        <v>25</v>
      </c>
      <c r="G37" s="5">
        <v>100</v>
      </c>
      <c r="H37" s="19">
        <f t="shared" si="3"/>
        <v>2500</v>
      </c>
      <c r="I37" s="19">
        <v>0</v>
      </c>
      <c r="J37" s="19">
        <f t="shared" si="4"/>
        <v>2500</v>
      </c>
      <c r="K37" s="19">
        <f t="shared" si="5"/>
        <v>2500</v>
      </c>
    </row>
    <row r="38" spans="1:11" x14ac:dyDescent="0.45">
      <c r="A38" s="4">
        <v>44377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75</v>
      </c>
      <c r="G38" s="5">
        <v>100</v>
      </c>
      <c r="H38" s="19">
        <f t="shared" si="3"/>
        <v>7500</v>
      </c>
      <c r="I38" s="19">
        <v>0</v>
      </c>
      <c r="J38" s="19">
        <f t="shared" si="4"/>
        <v>7500</v>
      </c>
      <c r="K38" s="19">
        <f t="shared" si="5"/>
        <v>7500</v>
      </c>
    </row>
    <row r="39" spans="1:11" x14ac:dyDescent="0.45">
      <c r="A39" s="4">
        <v>44533</v>
      </c>
      <c r="B39" s="5" t="s">
        <v>50</v>
      </c>
      <c r="C39" s="5" t="s">
        <v>258</v>
      </c>
      <c r="D39" s="5">
        <v>7011</v>
      </c>
      <c r="E39" s="9" t="s">
        <v>34</v>
      </c>
      <c r="F39" s="9">
        <v>45</v>
      </c>
      <c r="G39" s="5">
        <v>100</v>
      </c>
      <c r="H39" s="19">
        <f t="shared" si="3"/>
        <v>4500</v>
      </c>
      <c r="I39" s="19">
        <v>0</v>
      </c>
      <c r="J39" s="19">
        <f t="shared" si="4"/>
        <v>4500</v>
      </c>
      <c r="K39" s="19">
        <f t="shared" si="5"/>
        <v>4500</v>
      </c>
    </row>
    <row r="40" spans="1:11" x14ac:dyDescent="0.45">
      <c r="A40" s="4">
        <v>44742</v>
      </c>
      <c r="B40" s="5" t="s">
        <v>50</v>
      </c>
      <c r="C40" s="5" t="s">
        <v>258</v>
      </c>
      <c r="D40" s="5">
        <v>7011</v>
      </c>
      <c r="E40" s="9" t="s">
        <v>34</v>
      </c>
      <c r="F40" s="9">
        <v>55</v>
      </c>
      <c r="G40" s="5">
        <v>100</v>
      </c>
      <c r="H40" s="19">
        <f t="shared" si="3"/>
        <v>5500</v>
      </c>
      <c r="I40" s="19">
        <v>1117</v>
      </c>
      <c r="J40" s="19">
        <f t="shared" si="4"/>
        <v>4383</v>
      </c>
      <c r="K40" s="19">
        <f t="shared" si="5"/>
        <v>4383</v>
      </c>
    </row>
    <row r="41" spans="1:11" x14ac:dyDescent="0.45">
      <c r="A41" s="4">
        <v>44900</v>
      </c>
      <c r="B41" s="5" t="s">
        <v>50</v>
      </c>
      <c r="C41" s="5" t="s">
        <v>258</v>
      </c>
      <c r="D41" s="5">
        <v>7011</v>
      </c>
      <c r="E41" s="9" t="s">
        <v>34</v>
      </c>
      <c r="F41" s="9">
        <v>60</v>
      </c>
      <c r="G41" s="5">
        <v>100</v>
      </c>
      <c r="H41" s="19">
        <f t="shared" si="3"/>
        <v>6000</v>
      </c>
      <c r="I41" s="19">
        <v>0</v>
      </c>
      <c r="J41" s="19">
        <f t="shared" si="4"/>
        <v>6000</v>
      </c>
      <c r="K41" s="19">
        <f t="shared" si="5"/>
        <v>6000</v>
      </c>
    </row>
    <row r="42" spans="1:11" x14ac:dyDescent="0.45">
      <c r="A42" s="4">
        <v>45107</v>
      </c>
      <c r="B42" s="5" t="s">
        <v>50</v>
      </c>
      <c r="C42" s="5" t="s">
        <v>258</v>
      </c>
      <c r="D42" s="5">
        <v>7011</v>
      </c>
      <c r="E42" s="9" t="s">
        <v>34</v>
      </c>
      <c r="F42" s="9">
        <v>70</v>
      </c>
      <c r="G42" s="5">
        <v>100</v>
      </c>
      <c r="H42" s="19">
        <f t="shared" si="3"/>
        <v>7000</v>
      </c>
      <c r="I42" s="19">
        <v>0</v>
      </c>
      <c r="J42" s="19">
        <f t="shared" si="4"/>
        <v>7000</v>
      </c>
      <c r="K42" s="19">
        <f t="shared" si="5"/>
        <v>7000</v>
      </c>
    </row>
    <row r="43" spans="1:11" x14ac:dyDescent="0.45">
      <c r="A43" s="4">
        <v>45265</v>
      </c>
      <c r="B43" s="5" t="s">
        <v>50</v>
      </c>
      <c r="C43" s="5" t="s">
        <v>258</v>
      </c>
      <c r="D43" s="5">
        <v>7011</v>
      </c>
      <c r="E43" s="9" t="s">
        <v>34</v>
      </c>
      <c r="F43" s="9">
        <v>80</v>
      </c>
      <c r="G43" s="5">
        <v>100</v>
      </c>
      <c r="H43" s="19">
        <f t="shared" si="3"/>
        <v>8000</v>
      </c>
      <c r="I43" s="19">
        <v>0</v>
      </c>
      <c r="J43" s="19">
        <f t="shared" si="4"/>
        <v>8000</v>
      </c>
      <c r="K43" s="19">
        <f t="shared" si="5"/>
        <v>8000</v>
      </c>
    </row>
    <row r="44" spans="1:11" x14ac:dyDescent="0.45">
      <c r="A44" s="4">
        <v>45471</v>
      </c>
      <c r="B44" s="5" t="s">
        <v>50</v>
      </c>
      <c r="C44" s="5" t="s">
        <v>258</v>
      </c>
      <c r="D44" s="5">
        <v>7011</v>
      </c>
      <c r="E44" s="9" t="s">
        <v>34</v>
      </c>
      <c r="F44" s="9">
        <v>120</v>
      </c>
      <c r="G44" s="5">
        <v>100</v>
      </c>
      <c r="H44" s="19">
        <f t="shared" si="3"/>
        <v>12000</v>
      </c>
      <c r="I44" s="19">
        <v>0</v>
      </c>
      <c r="J44" s="19">
        <f t="shared" si="4"/>
        <v>12000</v>
      </c>
      <c r="K44" s="19">
        <f t="shared" si="5"/>
        <v>12000</v>
      </c>
    </row>
    <row r="45" spans="1:11" x14ac:dyDescent="0.45">
      <c r="A45" s="4">
        <v>45631</v>
      </c>
      <c r="B45" s="5" t="s">
        <v>50</v>
      </c>
      <c r="C45" s="5" t="s">
        <v>258</v>
      </c>
      <c r="D45" s="5">
        <v>7011</v>
      </c>
      <c r="E45" s="9" t="s">
        <v>34</v>
      </c>
      <c r="F45" s="9">
        <v>11</v>
      </c>
      <c r="G45" s="5">
        <v>1000</v>
      </c>
      <c r="H45" s="19">
        <f t="shared" si="3"/>
        <v>11000</v>
      </c>
      <c r="I45" s="19">
        <v>0</v>
      </c>
      <c r="J45" s="19">
        <f t="shared" si="4"/>
        <v>11000</v>
      </c>
      <c r="K45" s="19">
        <f t="shared" si="5"/>
        <v>11000</v>
      </c>
    </row>
    <row r="46" spans="1:11" x14ac:dyDescent="0.45">
      <c r="A46" s="4">
        <v>44286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40</v>
      </c>
      <c r="G46" s="5">
        <v>100</v>
      </c>
      <c r="H46" s="19">
        <f t="shared" si="3"/>
        <v>4000</v>
      </c>
      <c r="I46" s="19">
        <v>0</v>
      </c>
      <c r="J46" s="19">
        <f t="shared" si="4"/>
        <v>4000</v>
      </c>
      <c r="K46" s="19">
        <f t="shared" si="5"/>
        <v>4000</v>
      </c>
    </row>
    <row r="47" spans="1:11" x14ac:dyDescent="0.45">
      <c r="A47" s="4">
        <v>44435</v>
      </c>
      <c r="B47" s="5" t="s">
        <v>50</v>
      </c>
      <c r="C47" s="5" t="s">
        <v>258</v>
      </c>
      <c r="D47" s="5">
        <v>7751</v>
      </c>
      <c r="E47" s="9" t="s">
        <v>35</v>
      </c>
      <c r="F47" s="9">
        <v>45</v>
      </c>
      <c r="G47" s="5">
        <v>100</v>
      </c>
      <c r="H47" s="19">
        <f t="shared" si="3"/>
        <v>4500</v>
      </c>
      <c r="I47" s="19">
        <v>0</v>
      </c>
      <c r="J47" s="19">
        <f t="shared" si="4"/>
        <v>4500</v>
      </c>
      <c r="K47" s="19">
        <f t="shared" si="5"/>
        <v>4500</v>
      </c>
    </row>
    <row r="48" spans="1:11" x14ac:dyDescent="0.45">
      <c r="A48" s="4">
        <v>44651</v>
      </c>
      <c r="B48" s="5" t="s">
        <v>50</v>
      </c>
      <c r="C48" s="5" t="s">
        <v>258</v>
      </c>
      <c r="D48" s="5">
        <v>7751</v>
      </c>
      <c r="E48" s="9" t="s">
        <v>35</v>
      </c>
      <c r="F48" s="9">
        <v>55</v>
      </c>
      <c r="G48" s="5">
        <v>100</v>
      </c>
      <c r="H48" s="19">
        <f t="shared" si="3"/>
        <v>5500</v>
      </c>
      <c r="I48" s="19">
        <v>1117</v>
      </c>
      <c r="J48" s="19">
        <f t="shared" si="4"/>
        <v>4383</v>
      </c>
      <c r="K48" s="19">
        <f t="shared" si="5"/>
        <v>4383</v>
      </c>
    </row>
    <row r="49" spans="1:11" x14ac:dyDescent="0.45">
      <c r="A49" s="4">
        <v>44799</v>
      </c>
      <c r="B49" s="5" t="s">
        <v>50</v>
      </c>
      <c r="C49" s="5" t="s">
        <v>258</v>
      </c>
      <c r="D49" s="5">
        <v>7751</v>
      </c>
      <c r="E49" s="9" t="s">
        <v>35</v>
      </c>
      <c r="F49" s="9">
        <v>60</v>
      </c>
      <c r="G49" s="5">
        <v>100</v>
      </c>
      <c r="H49" s="19">
        <f t="shared" si="3"/>
        <v>6000</v>
      </c>
      <c r="I49" s="19">
        <v>1218</v>
      </c>
      <c r="J49" s="19">
        <f t="shared" si="4"/>
        <v>4782</v>
      </c>
      <c r="K49" s="19">
        <f t="shared" si="5"/>
        <v>4782</v>
      </c>
    </row>
    <row r="50" spans="1:11" x14ac:dyDescent="0.45">
      <c r="A50" s="4">
        <v>45016</v>
      </c>
      <c r="B50" s="5" t="s">
        <v>50</v>
      </c>
      <c r="C50" s="5" t="s">
        <v>258</v>
      </c>
      <c r="D50" s="5">
        <v>7751</v>
      </c>
      <c r="E50" s="9" t="s">
        <v>35</v>
      </c>
      <c r="F50" s="9">
        <v>60</v>
      </c>
      <c r="G50" s="5">
        <v>100</v>
      </c>
      <c r="H50" s="19">
        <f t="shared" si="3"/>
        <v>6000</v>
      </c>
      <c r="I50" s="19">
        <v>0</v>
      </c>
      <c r="J50" s="19">
        <f t="shared" si="4"/>
        <v>6000</v>
      </c>
      <c r="K50" s="19">
        <f t="shared" si="5"/>
        <v>6000</v>
      </c>
    </row>
    <row r="51" spans="1:11" x14ac:dyDescent="0.45">
      <c r="A51" s="4">
        <v>45163</v>
      </c>
      <c r="B51" s="5" t="s">
        <v>50</v>
      </c>
      <c r="C51" s="5" t="s">
        <v>258</v>
      </c>
      <c r="D51" s="5">
        <v>7751</v>
      </c>
      <c r="E51" s="9" t="s">
        <v>35</v>
      </c>
      <c r="F51" s="9">
        <v>70</v>
      </c>
      <c r="G51" s="5">
        <v>100</v>
      </c>
      <c r="H51" s="19">
        <f t="shared" si="3"/>
        <v>7000</v>
      </c>
      <c r="I51" s="19">
        <v>0</v>
      </c>
      <c r="J51" s="19">
        <f t="shared" si="4"/>
        <v>7000</v>
      </c>
      <c r="K51" s="19">
        <f t="shared" si="5"/>
        <v>7000</v>
      </c>
    </row>
    <row r="52" spans="1:11" x14ac:dyDescent="0.45">
      <c r="A52" s="4">
        <v>45380</v>
      </c>
      <c r="B52" s="5" t="s">
        <v>50</v>
      </c>
      <c r="C52" s="5" t="s">
        <v>258</v>
      </c>
      <c r="D52" s="5">
        <v>7751</v>
      </c>
      <c r="E52" s="9" t="s">
        <v>35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45530</v>
      </c>
      <c r="B53" s="5" t="s">
        <v>50</v>
      </c>
      <c r="C53" s="5" t="s">
        <v>258</v>
      </c>
      <c r="D53" s="5">
        <v>7751</v>
      </c>
      <c r="E53" s="9" t="s">
        <v>35</v>
      </c>
      <c r="F53" s="9">
        <v>75</v>
      </c>
      <c r="G53" s="5">
        <v>100</v>
      </c>
      <c r="H53" s="19">
        <f t="shared" si="3"/>
        <v>7500</v>
      </c>
      <c r="I53" s="19">
        <v>0</v>
      </c>
      <c r="J53" s="19">
        <f t="shared" si="4"/>
        <v>7500</v>
      </c>
      <c r="K53" s="19">
        <f t="shared" si="5"/>
        <v>7500</v>
      </c>
    </row>
    <row r="54" spans="1:11" x14ac:dyDescent="0.45">
      <c r="A54" s="4">
        <v>44371</v>
      </c>
      <c r="B54" s="5" t="s">
        <v>50</v>
      </c>
      <c r="C54" s="5" t="s">
        <v>258</v>
      </c>
      <c r="D54" s="5">
        <v>7867</v>
      </c>
      <c r="E54" s="9" t="s">
        <v>40</v>
      </c>
      <c r="F54" s="9">
        <v>10</v>
      </c>
      <c r="G54" s="5">
        <v>100</v>
      </c>
      <c r="H54" s="19">
        <f t="shared" si="3"/>
        <v>1000</v>
      </c>
      <c r="I54" s="19">
        <v>0</v>
      </c>
      <c r="J54" s="19">
        <f t="shared" si="4"/>
        <v>1000</v>
      </c>
      <c r="K54" s="19">
        <f t="shared" si="5"/>
        <v>1000</v>
      </c>
    </row>
    <row r="55" spans="1:11" x14ac:dyDescent="0.45">
      <c r="A55" s="4">
        <v>45747</v>
      </c>
      <c r="B55" s="5" t="s">
        <v>50</v>
      </c>
      <c r="C55" s="5" t="s">
        <v>257</v>
      </c>
      <c r="D55" s="5">
        <v>7984</v>
      </c>
      <c r="E55" s="6" t="s">
        <v>259</v>
      </c>
      <c r="F55" s="9">
        <v>39</v>
      </c>
      <c r="G55" s="5">
        <v>100</v>
      </c>
      <c r="H55" s="19">
        <f t="shared" si="3"/>
        <v>3900</v>
      </c>
      <c r="I55" s="19">
        <v>0</v>
      </c>
      <c r="J55" s="19">
        <f t="shared" si="4"/>
        <v>3900</v>
      </c>
      <c r="K55" s="19">
        <f t="shared" si="5"/>
        <v>3900</v>
      </c>
    </row>
    <row r="56" spans="1:11" x14ac:dyDescent="0.45">
      <c r="A56" s="4">
        <v>45904</v>
      </c>
      <c r="B56" s="5" t="s">
        <v>50</v>
      </c>
      <c r="C56" s="5" t="s">
        <v>257</v>
      </c>
      <c r="D56" s="5">
        <v>7984</v>
      </c>
      <c r="E56" s="6" t="s">
        <v>259</v>
      </c>
      <c r="F56" s="9">
        <v>46</v>
      </c>
      <c r="G56" s="5">
        <v>100</v>
      </c>
      <c r="H56" s="19">
        <f t="shared" si="3"/>
        <v>4600</v>
      </c>
      <c r="I56" s="19">
        <v>0</v>
      </c>
      <c r="J56" s="19">
        <f t="shared" si="4"/>
        <v>4600</v>
      </c>
      <c r="K56" s="19">
        <f t="shared" si="5"/>
        <v>4600</v>
      </c>
    </row>
    <row r="57" spans="1:11" x14ac:dyDescent="0.45">
      <c r="A57" s="4">
        <v>46111</v>
      </c>
      <c r="B57" s="5" t="s">
        <v>50</v>
      </c>
      <c r="C57" s="5" t="s">
        <v>257</v>
      </c>
      <c r="D57" s="5">
        <v>7984</v>
      </c>
      <c r="E57" s="6" t="s">
        <v>259</v>
      </c>
      <c r="F57" s="9">
        <v>13</v>
      </c>
      <c r="G57" s="5">
        <v>400</v>
      </c>
      <c r="H57" s="19">
        <f t="shared" si="3"/>
        <v>5200</v>
      </c>
      <c r="I57" s="19">
        <v>0</v>
      </c>
      <c r="J57" s="19">
        <f t="shared" si="4"/>
        <v>5200</v>
      </c>
      <c r="K57" s="19">
        <f t="shared" si="5"/>
        <v>5200</v>
      </c>
    </row>
    <row r="58" spans="1:11" x14ac:dyDescent="0.45">
      <c r="A58" s="4">
        <v>45817</v>
      </c>
      <c r="B58" s="5" t="s">
        <v>50</v>
      </c>
      <c r="C58" s="5" t="s">
        <v>257</v>
      </c>
      <c r="D58" s="5">
        <v>8593</v>
      </c>
      <c r="E58" s="6" t="s">
        <v>189</v>
      </c>
      <c r="F58" s="9">
        <v>20</v>
      </c>
      <c r="G58" s="5">
        <v>300</v>
      </c>
      <c r="H58" s="19">
        <f t="shared" si="3"/>
        <v>6000</v>
      </c>
      <c r="I58" s="19">
        <v>0</v>
      </c>
      <c r="J58" s="19">
        <f t="shared" si="4"/>
        <v>6000</v>
      </c>
      <c r="K58" s="19">
        <f t="shared" si="5"/>
        <v>6000</v>
      </c>
    </row>
    <row r="59" spans="1:11" x14ac:dyDescent="0.45">
      <c r="A59" s="4">
        <v>45996</v>
      </c>
      <c r="B59" s="5" t="s">
        <v>50</v>
      </c>
      <c r="C59" s="5" t="s">
        <v>257</v>
      </c>
      <c r="D59" s="5">
        <v>8593</v>
      </c>
      <c r="E59" s="6" t="s">
        <v>189</v>
      </c>
      <c r="F59" s="9">
        <v>22</v>
      </c>
      <c r="G59" s="5">
        <v>300</v>
      </c>
      <c r="H59" s="19">
        <f t="shared" si="3"/>
        <v>6600</v>
      </c>
      <c r="I59" s="19">
        <v>0</v>
      </c>
      <c r="J59" s="19">
        <f t="shared" si="4"/>
        <v>6600</v>
      </c>
      <c r="K59" s="19">
        <f t="shared" si="5"/>
        <v>6600</v>
      </c>
    </row>
    <row r="60" spans="1:11" x14ac:dyDescent="0.45">
      <c r="A60" s="4">
        <v>46181</v>
      </c>
      <c r="B60" s="5" t="s">
        <v>50</v>
      </c>
      <c r="C60" s="5" t="s">
        <v>257</v>
      </c>
      <c r="D60" s="5">
        <v>8593</v>
      </c>
      <c r="E60" s="6" t="s">
        <v>189</v>
      </c>
      <c r="F60" s="9">
        <v>24</v>
      </c>
      <c r="G60" s="5">
        <v>400</v>
      </c>
      <c r="H60" s="19">
        <f t="shared" si="3"/>
        <v>9600</v>
      </c>
      <c r="I60" s="19">
        <v>0</v>
      </c>
      <c r="J60" s="19">
        <f t="shared" si="4"/>
        <v>9600</v>
      </c>
      <c r="K60" s="19">
        <f t="shared" si="5"/>
        <v>9600</v>
      </c>
    </row>
    <row r="61" spans="1:11" x14ac:dyDescent="0.45">
      <c r="A61" s="4">
        <v>45104</v>
      </c>
      <c r="B61" s="5" t="s">
        <v>50</v>
      </c>
      <c r="C61" s="5" t="s">
        <v>258</v>
      </c>
      <c r="D61" s="5">
        <v>8766</v>
      </c>
      <c r="E61" s="9" t="s">
        <v>44</v>
      </c>
      <c r="F61" s="9">
        <v>50</v>
      </c>
      <c r="G61" s="5">
        <v>100</v>
      </c>
      <c r="H61" s="19">
        <f t="shared" si="3"/>
        <v>5000</v>
      </c>
      <c r="I61" s="19">
        <v>0</v>
      </c>
      <c r="J61" s="19">
        <f t="shared" si="4"/>
        <v>5000</v>
      </c>
      <c r="K61" s="19">
        <f t="shared" si="5"/>
        <v>5000</v>
      </c>
    </row>
    <row r="62" spans="1:11" x14ac:dyDescent="0.45">
      <c r="A62" s="4">
        <v>45463</v>
      </c>
      <c r="B62" s="5" t="s">
        <v>50</v>
      </c>
      <c r="C62" s="5" t="s">
        <v>257</v>
      </c>
      <c r="D62" s="5">
        <v>9433</v>
      </c>
      <c r="E62" s="9" t="s">
        <v>71</v>
      </c>
      <c r="F62" s="9">
        <v>70</v>
      </c>
      <c r="G62" s="5">
        <v>100</v>
      </c>
      <c r="H62" s="19">
        <f t="shared" si="3"/>
        <v>7000</v>
      </c>
      <c r="I62" s="19">
        <v>0</v>
      </c>
      <c r="J62" s="19">
        <f t="shared" si="4"/>
        <v>7000</v>
      </c>
      <c r="K62" s="19">
        <f t="shared" si="5"/>
        <v>7000</v>
      </c>
    </row>
    <row r="63" spans="1:11" x14ac:dyDescent="0.45">
      <c r="A63" s="4">
        <v>45999</v>
      </c>
      <c r="B63" s="5" t="s">
        <v>50</v>
      </c>
      <c r="C63" s="5" t="s">
        <v>257</v>
      </c>
      <c r="D63" s="5">
        <v>9433</v>
      </c>
      <c r="E63" s="9" t="s">
        <v>71</v>
      </c>
      <c r="F63" s="9">
        <v>40</v>
      </c>
      <c r="G63" s="5">
        <v>100</v>
      </c>
      <c r="H63" s="19">
        <f t="shared" si="3"/>
        <v>4000</v>
      </c>
      <c r="I63" s="19">
        <v>0</v>
      </c>
      <c r="J63" s="19">
        <f t="shared" si="4"/>
        <v>4000</v>
      </c>
      <c r="K63" s="19">
        <f t="shared" si="5"/>
        <v>4000</v>
      </c>
    </row>
  </sheetData>
  <autoFilter ref="A1:K16" xr:uid="{00000000-0009-0000-0000-000001000000}">
    <sortState xmlns:xlrd2="http://schemas.microsoft.com/office/spreadsheetml/2017/richdata2" ref="A2:K62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963"/>
  <sheetViews>
    <sheetView zoomScale="80" zoomScaleNormal="80" workbookViewId="0">
      <pane xSplit="4" ySplit="1" topLeftCell="E940" activePane="bottomRight" state="frozen"/>
      <selection pane="topRight" activeCell="E1" sqref="E1"/>
      <selection pane="bottomLeft" activeCell="A2" sqref="A2"/>
      <selection pane="bottomRight" activeCell="D954" sqref="D954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187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187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187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187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187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187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187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187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70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  <row r="830" spans="1:14" x14ac:dyDescent="0.45">
      <c r="A830" s="4">
        <v>46069</v>
      </c>
      <c r="B830" s="4">
        <v>46071</v>
      </c>
      <c r="C830" s="5">
        <v>4519</v>
      </c>
      <c r="D830" s="9" t="s">
        <v>398</v>
      </c>
      <c r="E830" s="5" t="s">
        <v>67</v>
      </c>
      <c r="F830" s="5" t="s">
        <v>29</v>
      </c>
      <c r="G830" s="5" t="s">
        <v>30</v>
      </c>
      <c r="H830" s="5">
        <v>100</v>
      </c>
      <c r="I830" s="7">
        <v>9265</v>
      </c>
      <c r="J830" s="9">
        <v>0</v>
      </c>
      <c r="K830" s="9">
        <v>0</v>
      </c>
      <c r="L830" s="9" t="s">
        <v>31</v>
      </c>
      <c r="M830" s="15">
        <f t="shared" si="19"/>
        <v>926500</v>
      </c>
      <c r="N830" s="19">
        <v>0</v>
      </c>
    </row>
    <row r="831" spans="1:14" x14ac:dyDescent="0.45">
      <c r="A831" s="4">
        <v>46069</v>
      </c>
      <c r="B831" s="4">
        <v>46071</v>
      </c>
      <c r="C831" s="5">
        <v>5602</v>
      </c>
      <c r="D831" s="9" t="s">
        <v>441</v>
      </c>
      <c r="E831" s="5" t="s">
        <v>67</v>
      </c>
      <c r="F831" s="5" t="s">
        <v>29</v>
      </c>
      <c r="G831" s="5" t="s">
        <v>30</v>
      </c>
      <c r="H831" s="5">
        <v>300</v>
      </c>
      <c r="I831" s="7">
        <v>1699.8</v>
      </c>
      <c r="J831" s="9">
        <v>0</v>
      </c>
      <c r="K831" s="9">
        <v>0</v>
      </c>
      <c r="L831" s="9" t="s">
        <v>31</v>
      </c>
      <c r="M831" s="15">
        <f t="shared" si="19"/>
        <v>509940</v>
      </c>
      <c r="N831" s="19">
        <v>0</v>
      </c>
    </row>
    <row r="832" spans="1:14" x14ac:dyDescent="0.45">
      <c r="A832" s="4">
        <v>46069</v>
      </c>
      <c r="B832" s="4">
        <v>46071</v>
      </c>
      <c r="C832" s="5">
        <v>6861</v>
      </c>
      <c r="D832" s="9" t="s">
        <v>442</v>
      </c>
      <c r="E832" s="5" t="s">
        <v>67</v>
      </c>
      <c r="F832" s="5" t="s">
        <v>29</v>
      </c>
      <c r="G832" s="5" t="s">
        <v>30</v>
      </c>
      <c r="H832" s="5">
        <v>100</v>
      </c>
      <c r="I832" s="7">
        <v>58300</v>
      </c>
      <c r="J832" s="9">
        <v>0</v>
      </c>
      <c r="K832" s="9">
        <v>0</v>
      </c>
      <c r="L832" s="9" t="s">
        <v>31</v>
      </c>
      <c r="M832" s="15">
        <f t="shared" si="19"/>
        <v>5830000</v>
      </c>
      <c r="N832" s="19">
        <v>0</v>
      </c>
    </row>
    <row r="833" spans="1:14" x14ac:dyDescent="0.45">
      <c r="A833" s="4">
        <v>46069</v>
      </c>
      <c r="B833" s="4">
        <v>46071</v>
      </c>
      <c r="C833" s="5">
        <v>7721</v>
      </c>
      <c r="D833" s="9" t="s">
        <v>443</v>
      </c>
      <c r="E833" s="5" t="s">
        <v>67</v>
      </c>
      <c r="F833" s="5" t="s">
        <v>29</v>
      </c>
      <c r="G833" s="5" t="s">
        <v>30</v>
      </c>
      <c r="H833" s="5">
        <v>100</v>
      </c>
      <c r="I833" s="7">
        <v>7979</v>
      </c>
      <c r="J833" s="9">
        <v>0</v>
      </c>
      <c r="K833" s="9">
        <v>0</v>
      </c>
      <c r="L833" s="9" t="s">
        <v>31</v>
      </c>
      <c r="M833" s="15">
        <f t="shared" si="19"/>
        <v>797900</v>
      </c>
      <c r="N833" s="19">
        <v>0</v>
      </c>
    </row>
    <row r="834" spans="1:14" x14ac:dyDescent="0.45">
      <c r="A834" s="4">
        <v>46071</v>
      </c>
      <c r="B834" s="4">
        <v>46073</v>
      </c>
      <c r="C834" s="5">
        <v>5602</v>
      </c>
      <c r="D834" s="9" t="s">
        <v>441</v>
      </c>
      <c r="E834" s="5" t="s">
        <v>67</v>
      </c>
      <c r="F834" s="5" t="s">
        <v>29</v>
      </c>
      <c r="G834" s="5" t="s">
        <v>30</v>
      </c>
      <c r="H834" s="5">
        <v>100</v>
      </c>
      <c r="I834" s="7">
        <v>1720.7</v>
      </c>
      <c r="J834" s="9">
        <v>0</v>
      </c>
      <c r="K834" s="9">
        <v>0</v>
      </c>
      <c r="L834" s="9" t="s">
        <v>31</v>
      </c>
      <c r="M834" s="15">
        <f t="shared" si="19"/>
        <v>172070</v>
      </c>
      <c r="N834" s="19">
        <v>0</v>
      </c>
    </row>
    <row r="835" spans="1:14" x14ac:dyDescent="0.45">
      <c r="A835" s="4">
        <v>46071</v>
      </c>
      <c r="B835" s="4">
        <v>46073</v>
      </c>
      <c r="C835" s="5">
        <v>7003</v>
      </c>
      <c r="D835" s="9" t="s">
        <v>444</v>
      </c>
      <c r="E835" s="5" t="s">
        <v>67</v>
      </c>
      <c r="F835" s="5" t="s">
        <v>29</v>
      </c>
      <c r="G835" s="5" t="s">
        <v>30</v>
      </c>
      <c r="H835" s="5">
        <v>100</v>
      </c>
      <c r="I835" s="7">
        <v>7492.6</v>
      </c>
      <c r="J835" s="9">
        <v>0</v>
      </c>
      <c r="K835" s="9">
        <v>0</v>
      </c>
      <c r="L835" s="9" t="s">
        <v>31</v>
      </c>
      <c r="M835" s="15">
        <f t="shared" si="19"/>
        <v>749260</v>
      </c>
      <c r="N835" s="19">
        <v>0</v>
      </c>
    </row>
    <row r="836" spans="1:14" x14ac:dyDescent="0.45">
      <c r="A836" s="4">
        <v>46072</v>
      </c>
      <c r="B836" s="4">
        <v>46077</v>
      </c>
      <c r="C836" s="5">
        <v>1540</v>
      </c>
      <c r="D836" s="9" t="s">
        <v>393</v>
      </c>
      <c r="E836" s="5" t="s">
        <v>67</v>
      </c>
      <c r="F836" s="5" t="s">
        <v>29</v>
      </c>
      <c r="G836" s="5" t="s">
        <v>30</v>
      </c>
      <c r="H836" s="5">
        <v>5</v>
      </c>
      <c r="I836" s="7">
        <v>23735</v>
      </c>
      <c r="J836" s="9">
        <v>0</v>
      </c>
      <c r="K836" s="9">
        <v>0</v>
      </c>
      <c r="L836" s="9" t="s">
        <v>31</v>
      </c>
      <c r="M836" s="15">
        <f t="shared" si="19"/>
        <v>118675</v>
      </c>
      <c r="N836" s="19">
        <v>0</v>
      </c>
    </row>
    <row r="837" spans="1:14" x14ac:dyDescent="0.45">
      <c r="A837" s="4">
        <v>46072</v>
      </c>
      <c r="B837" s="4">
        <v>46077</v>
      </c>
      <c r="C837" s="5">
        <v>6861</v>
      </c>
      <c r="D837" s="9" t="s">
        <v>442</v>
      </c>
      <c r="E837" s="5" t="s">
        <v>67</v>
      </c>
      <c r="F837" s="5" t="s">
        <v>29</v>
      </c>
      <c r="G837" s="5" t="s">
        <v>41</v>
      </c>
      <c r="H837" s="5">
        <v>100</v>
      </c>
      <c r="I837" s="7">
        <v>60400</v>
      </c>
      <c r="J837" s="9">
        <v>0</v>
      </c>
      <c r="K837" s="9">
        <v>0</v>
      </c>
      <c r="L837" s="9" t="s">
        <v>90</v>
      </c>
      <c r="M837" s="15">
        <f t="shared" si="19"/>
        <v>6040000</v>
      </c>
      <c r="N837" s="19">
        <v>210000</v>
      </c>
    </row>
    <row r="838" spans="1:14" x14ac:dyDescent="0.45">
      <c r="A838" s="4">
        <v>46072</v>
      </c>
      <c r="B838" s="4">
        <v>46077</v>
      </c>
      <c r="C838" s="5">
        <v>7003</v>
      </c>
      <c r="D838" s="9" t="s">
        <v>444</v>
      </c>
      <c r="E838" s="5" t="s">
        <v>67</v>
      </c>
      <c r="F838" s="5" t="s">
        <v>29</v>
      </c>
      <c r="G838" s="5" t="s">
        <v>41</v>
      </c>
      <c r="H838" s="5">
        <v>100</v>
      </c>
      <c r="I838" s="7">
        <v>7820</v>
      </c>
      <c r="J838" s="9">
        <v>0</v>
      </c>
      <c r="K838" s="9">
        <v>0</v>
      </c>
      <c r="L838" s="9" t="s">
        <v>90</v>
      </c>
      <c r="M838" s="15">
        <f t="shared" si="19"/>
        <v>782000</v>
      </c>
      <c r="N838" s="19">
        <v>32740</v>
      </c>
    </row>
    <row r="839" spans="1:14" x14ac:dyDescent="0.45">
      <c r="A839" s="4">
        <v>46072</v>
      </c>
      <c r="B839" s="4">
        <v>46077</v>
      </c>
      <c r="C839" s="5">
        <v>5801</v>
      </c>
      <c r="D839" s="9" t="s">
        <v>445</v>
      </c>
      <c r="E839" s="5" t="s">
        <v>67</v>
      </c>
      <c r="F839" s="5" t="s">
        <v>29</v>
      </c>
      <c r="G839" s="5" t="s">
        <v>30</v>
      </c>
      <c r="H839" s="5">
        <v>100</v>
      </c>
      <c r="I839" s="7">
        <v>22925</v>
      </c>
      <c r="J839" s="9">
        <v>0</v>
      </c>
      <c r="K839" s="9">
        <v>0</v>
      </c>
      <c r="L839" s="9" t="s">
        <v>31</v>
      </c>
      <c r="M839" s="15">
        <f t="shared" si="19"/>
        <v>2292500</v>
      </c>
      <c r="N839" s="19">
        <v>0</v>
      </c>
    </row>
    <row r="840" spans="1:14" x14ac:dyDescent="0.45">
      <c r="A840" s="4">
        <v>46077</v>
      </c>
      <c r="B840" s="4">
        <v>46079</v>
      </c>
      <c r="C840" s="5" t="s">
        <v>446</v>
      </c>
      <c r="D840" s="9" t="s">
        <v>447</v>
      </c>
      <c r="E840" s="5" t="s">
        <v>67</v>
      </c>
      <c r="F840" s="5" t="s">
        <v>29</v>
      </c>
      <c r="G840" s="5" t="s">
        <v>30</v>
      </c>
      <c r="H840" s="5">
        <v>100</v>
      </c>
      <c r="I840" s="7">
        <v>22430</v>
      </c>
      <c r="J840" s="9">
        <v>0</v>
      </c>
      <c r="K840" s="9">
        <v>0</v>
      </c>
      <c r="L840" s="9" t="s">
        <v>31</v>
      </c>
      <c r="M840" s="15">
        <f t="shared" si="19"/>
        <v>2243000</v>
      </c>
      <c r="N840" s="19">
        <v>0</v>
      </c>
    </row>
    <row r="841" spans="1:14" x14ac:dyDescent="0.45">
      <c r="A841" s="4">
        <v>46078</v>
      </c>
      <c r="B841" s="4">
        <v>46080</v>
      </c>
      <c r="C841" s="5">
        <v>1662</v>
      </c>
      <c r="D841" s="9" t="s">
        <v>438</v>
      </c>
      <c r="E841" s="5" t="s">
        <v>67</v>
      </c>
      <c r="F841" s="5" t="s">
        <v>29</v>
      </c>
      <c r="G841" s="5" t="s">
        <v>41</v>
      </c>
      <c r="H841" s="5">
        <v>100</v>
      </c>
      <c r="I841" s="7">
        <v>2263.5</v>
      </c>
      <c r="J841" s="9">
        <v>0</v>
      </c>
      <c r="K841" s="9">
        <v>0</v>
      </c>
      <c r="L841" s="9" t="s">
        <v>90</v>
      </c>
      <c r="M841" s="15">
        <f t="shared" si="19"/>
        <v>226350</v>
      </c>
      <c r="N841" s="19">
        <v>13550</v>
      </c>
    </row>
    <row r="842" spans="1:14" x14ac:dyDescent="0.45">
      <c r="A842" s="4">
        <v>46078</v>
      </c>
      <c r="B842" s="4">
        <v>46080</v>
      </c>
      <c r="C842" s="5">
        <v>1928</v>
      </c>
      <c r="D842" s="9" t="s">
        <v>448</v>
      </c>
      <c r="E842" s="5" t="s">
        <v>67</v>
      </c>
      <c r="F842" s="5" t="s">
        <v>29</v>
      </c>
      <c r="G842" s="5" t="s">
        <v>41</v>
      </c>
      <c r="H842" s="5">
        <v>100</v>
      </c>
      <c r="I842" s="7">
        <v>3797</v>
      </c>
      <c r="J842" s="9">
        <v>0</v>
      </c>
      <c r="K842" s="9">
        <v>0</v>
      </c>
      <c r="L842" s="9" t="s">
        <v>90</v>
      </c>
      <c r="M842" s="15">
        <f t="shared" si="19"/>
        <v>379700</v>
      </c>
      <c r="N842" s="19">
        <v>6000</v>
      </c>
    </row>
    <row r="843" spans="1:14" x14ac:dyDescent="0.45">
      <c r="A843" s="4">
        <v>46078</v>
      </c>
      <c r="B843" s="4">
        <v>46080</v>
      </c>
      <c r="C843" s="5">
        <v>3563</v>
      </c>
      <c r="D843" s="9" t="s">
        <v>370</v>
      </c>
      <c r="E843" s="5" t="s">
        <v>67</v>
      </c>
      <c r="F843" s="5" t="s">
        <v>29</v>
      </c>
      <c r="G843" s="5" t="s">
        <v>41</v>
      </c>
      <c r="H843" s="5">
        <v>100</v>
      </c>
      <c r="I843" s="7">
        <v>9620</v>
      </c>
      <c r="J843" s="9">
        <v>0</v>
      </c>
      <c r="K843" s="9">
        <v>0</v>
      </c>
      <c r="L843" s="9" t="s">
        <v>90</v>
      </c>
      <c r="M843" s="15">
        <f t="shared" si="19"/>
        <v>962000</v>
      </c>
      <c r="N843" s="19">
        <v>40800</v>
      </c>
    </row>
    <row r="844" spans="1:14" x14ac:dyDescent="0.45">
      <c r="A844" s="4">
        <v>46078</v>
      </c>
      <c r="B844" s="4">
        <v>46080</v>
      </c>
      <c r="C844" s="5">
        <v>3692</v>
      </c>
      <c r="D844" s="9" t="s">
        <v>397</v>
      </c>
      <c r="E844" s="5" t="s">
        <v>67</v>
      </c>
      <c r="F844" s="5" t="s">
        <v>29</v>
      </c>
      <c r="G844" s="5" t="s">
        <v>41</v>
      </c>
      <c r="H844" s="5">
        <v>200</v>
      </c>
      <c r="I844" s="7">
        <v>8010</v>
      </c>
      <c r="J844" s="9">
        <v>0</v>
      </c>
      <c r="K844" s="9">
        <v>0</v>
      </c>
      <c r="L844" s="9" t="s">
        <v>90</v>
      </c>
      <c r="M844" s="15">
        <f t="shared" si="19"/>
        <v>1602000</v>
      </c>
      <c r="N844" s="19">
        <f>-201500*2</f>
        <v>-403000</v>
      </c>
    </row>
    <row r="845" spans="1:14" x14ac:dyDescent="0.45">
      <c r="A845" s="4">
        <v>46078</v>
      </c>
      <c r="B845" s="4">
        <v>46080</v>
      </c>
      <c r="C845" s="5">
        <v>4519</v>
      </c>
      <c r="D845" s="9" t="s">
        <v>398</v>
      </c>
      <c r="E845" s="5" t="s">
        <v>67</v>
      </c>
      <c r="F845" s="5" t="s">
        <v>29</v>
      </c>
      <c r="G845" s="5" t="s">
        <v>41</v>
      </c>
      <c r="H845" s="5">
        <v>100</v>
      </c>
      <c r="I845" s="7">
        <v>10285</v>
      </c>
      <c r="J845" s="9">
        <v>0</v>
      </c>
      <c r="K845" s="9">
        <v>0</v>
      </c>
      <c r="L845" s="9" t="s">
        <v>90</v>
      </c>
      <c r="M845" s="15">
        <f t="shared" si="19"/>
        <v>1028500</v>
      </c>
      <c r="N845" s="19">
        <v>102000</v>
      </c>
    </row>
    <row r="846" spans="1:14" x14ac:dyDescent="0.45">
      <c r="A846" s="4">
        <v>46078</v>
      </c>
      <c r="B846" s="4">
        <v>46080</v>
      </c>
      <c r="C846" s="5">
        <v>5602</v>
      </c>
      <c r="D846" s="9" t="s">
        <v>441</v>
      </c>
      <c r="E846" s="5" t="s">
        <v>67</v>
      </c>
      <c r="F846" s="5" t="s">
        <v>29</v>
      </c>
      <c r="G846" s="5" t="s">
        <v>41</v>
      </c>
      <c r="H846" s="5">
        <v>400</v>
      </c>
      <c r="I846" s="7">
        <v>1707</v>
      </c>
      <c r="J846" s="9">
        <v>0</v>
      </c>
      <c r="K846" s="9">
        <v>0</v>
      </c>
      <c r="L846" s="9" t="s">
        <v>90</v>
      </c>
      <c r="M846" s="15">
        <f t="shared" si="19"/>
        <v>682800</v>
      </c>
      <c r="N846" s="19">
        <v>400</v>
      </c>
    </row>
    <row r="847" spans="1:14" x14ac:dyDescent="0.45">
      <c r="A847" s="4">
        <v>46078</v>
      </c>
      <c r="B847" s="4">
        <v>46080</v>
      </c>
      <c r="C847" s="5">
        <v>5801</v>
      </c>
      <c r="D847" s="9" t="s">
        <v>445</v>
      </c>
      <c r="E847" s="5" t="s">
        <v>67</v>
      </c>
      <c r="F847" s="5" t="s">
        <v>29</v>
      </c>
      <c r="G847" s="5" t="s">
        <v>41</v>
      </c>
      <c r="H847" s="5">
        <v>100</v>
      </c>
      <c r="I847" s="7">
        <v>28057.5</v>
      </c>
      <c r="J847" s="9">
        <v>0</v>
      </c>
      <c r="K847" s="9">
        <v>0</v>
      </c>
      <c r="L847" s="9" t="s">
        <v>90</v>
      </c>
      <c r="M847" s="15">
        <f t="shared" si="19"/>
        <v>2805750</v>
      </c>
      <c r="N847" s="19">
        <v>513250</v>
      </c>
    </row>
    <row r="848" spans="1:14" x14ac:dyDescent="0.45">
      <c r="A848" s="4">
        <v>46078</v>
      </c>
      <c r="B848" s="4">
        <v>46080</v>
      </c>
      <c r="C848" s="5">
        <v>7721</v>
      </c>
      <c r="D848" s="9" t="s">
        <v>443</v>
      </c>
      <c r="E848" s="5" t="s">
        <v>67</v>
      </c>
      <c r="F848" s="5" t="s">
        <v>29</v>
      </c>
      <c r="G848" s="5" t="s">
        <v>41</v>
      </c>
      <c r="H848" s="5">
        <v>100</v>
      </c>
      <c r="I848" s="7">
        <v>8444</v>
      </c>
      <c r="J848" s="9">
        <v>0</v>
      </c>
      <c r="K848" s="9">
        <v>0</v>
      </c>
      <c r="L848" s="9" t="s">
        <v>90</v>
      </c>
      <c r="M848" s="15">
        <f t="shared" si="19"/>
        <v>844400</v>
      </c>
      <c r="N848" s="19">
        <v>46500</v>
      </c>
    </row>
    <row r="849" spans="1:14" x14ac:dyDescent="0.45">
      <c r="A849" s="4">
        <v>46078</v>
      </c>
      <c r="B849" s="4">
        <v>46080</v>
      </c>
      <c r="C849" s="5">
        <v>8766</v>
      </c>
      <c r="D849" s="9" t="s">
        <v>44</v>
      </c>
      <c r="E849" s="5" t="s">
        <v>67</v>
      </c>
      <c r="F849" s="5" t="s">
        <v>29</v>
      </c>
      <c r="G849" s="5" t="s">
        <v>41</v>
      </c>
      <c r="H849" s="5">
        <v>100</v>
      </c>
      <c r="I849" s="7">
        <v>6297</v>
      </c>
      <c r="J849" s="9">
        <v>0</v>
      </c>
      <c r="K849" s="9">
        <v>0</v>
      </c>
      <c r="L849" s="9" t="s">
        <v>90</v>
      </c>
      <c r="M849" s="15">
        <f t="shared" si="19"/>
        <v>629700</v>
      </c>
      <c r="N849" s="19">
        <v>7200</v>
      </c>
    </row>
    <row r="850" spans="1:14" x14ac:dyDescent="0.45">
      <c r="A850" s="4">
        <v>46078</v>
      </c>
      <c r="B850" s="4">
        <v>46083</v>
      </c>
      <c r="C850" s="5">
        <v>9602</v>
      </c>
      <c r="D850" s="9" t="s">
        <v>131</v>
      </c>
      <c r="E850" s="5" t="s">
        <v>67</v>
      </c>
      <c r="F850" s="5"/>
      <c r="G850" s="5" t="s">
        <v>125</v>
      </c>
      <c r="H850" s="5">
        <v>400</v>
      </c>
      <c r="I850" s="7">
        <v>1922.8</v>
      </c>
      <c r="J850" s="9">
        <v>0</v>
      </c>
      <c r="K850" s="9">
        <v>0</v>
      </c>
      <c r="L850" s="9" t="s">
        <v>31</v>
      </c>
      <c r="M850" s="15">
        <v>0</v>
      </c>
      <c r="N850" s="19">
        <v>0</v>
      </c>
    </row>
    <row r="851" spans="1:14" x14ac:dyDescent="0.45">
      <c r="A851" s="4">
        <v>46080</v>
      </c>
      <c r="B851" s="4">
        <v>46084</v>
      </c>
      <c r="C851" s="5">
        <v>5602</v>
      </c>
      <c r="D851" s="9" t="s">
        <v>441</v>
      </c>
      <c r="E851" s="5" t="s">
        <v>67</v>
      </c>
      <c r="F851" s="5" t="s">
        <v>29</v>
      </c>
      <c r="G851" s="5" t="s">
        <v>30</v>
      </c>
      <c r="H851" s="5">
        <v>300</v>
      </c>
      <c r="I851" s="7">
        <v>1766</v>
      </c>
      <c r="J851" s="9">
        <v>0</v>
      </c>
      <c r="K851" s="9">
        <v>0</v>
      </c>
      <c r="L851" s="9" t="s">
        <v>31</v>
      </c>
      <c r="M851" s="15">
        <f t="shared" si="19"/>
        <v>529800</v>
      </c>
      <c r="N851" s="19">
        <v>0</v>
      </c>
    </row>
    <row r="852" spans="1:14" x14ac:dyDescent="0.45">
      <c r="A852" s="4">
        <v>46080</v>
      </c>
      <c r="B852" s="4">
        <v>46084</v>
      </c>
      <c r="C852" s="5">
        <v>2768</v>
      </c>
      <c r="D852" s="9" t="s">
        <v>430</v>
      </c>
      <c r="E852" s="5" t="s">
        <v>67</v>
      </c>
      <c r="F852" s="5" t="s">
        <v>29</v>
      </c>
      <c r="G852" s="5" t="s">
        <v>30</v>
      </c>
      <c r="H852" s="5">
        <v>100</v>
      </c>
      <c r="I852" s="7">
        <v>7067.4</v>
      </c>
      <c r="J852" s="9">
        <v>0</v>
      </c>
      <c r="K852" s="9">
        <v>0</v>
      </c>
      <c r="L852" s="9" t="s">
        <v>31</v>
      </c>
      <c r="M852" s="15">
        <f t="shared" si="19"/>
        <v>706740</v>
      </c>
      <c r="N852" s="19">
        <v>0</v>
      </c>
    </row>
    <row r="853" spans="1:14" x14ac:dyDescent="0.45">
      <c r="A853" s="4">
        <v>46083</v>
      </c>
      <c r="B853" s="4">
        <v>46085</v>
      </c>
      <c r="C853" s="5">
        <v>7012</v>
      </c>
      <c r="D853" s="9" t="s">
        <v>69</v>
      </c>
      <c r="E853" s="5" t="s">
        <v>67</v>
      </c>
      <c r="F853" s="5" t="s">
        <v>29</v>
      </c>
      <c r="G853" s="5" t="s">
        <v>30</v>
      </c>
      <c r="H853" s="5">
        <v>100</v>
      </c>
      <c r="I853" s="7">
        <v>18465</v>
      </c>
      <c r="J853" s="9">
        <v>0</v>
      </c>
      <c r="K853" s="9">
        <v>0</v>
      </c>
      <c r="L853" s="9" t="s">
        <v>31</v>
      </c>
      <c r="M853" s="15">
        <f t="shared" si="19"/>
        <v>1846500</v>
      </c>
      <c r="N853" s="19">
        <v>0</v>
      </c>
    </row>
    <row r="854" spans="1:14" x14ac:dyDescent="0.45">
      <c r="A854" s="4">
        <v>46083</v>
      </c>
      <c r="B854" s="4">
        <v>46085</v>
      </c>
      <c r="C854" s="5">
        <v>9101</v>
      </c>
      <c r="D854" s="9" t="s">
        <v>94</v>
      </c>
      <c r="E854" s="5" t="s">
        <v>67</v>
      </c>
      <c r="F854" s="5" t="s">
        <v>29</v>
      </c>
      <c r="G854" s="5" t="s">
        <v>30</v>
      </c>
      <c r="H854" s="5">
        <v>100</v>
      </c>
      <c r="I854" s="7">
        <v>5490</v>
      </c>
      <c r="J854" s="9">
        <v>0</v>
      </c>
      <c r="K854" s="9">
        <v>0</v>
      </c>
      <c r="L854" s="9" t="s">
        <v>31</v>
      </c>
      <c r="M854" s="15">
        <f t="shared" si="19"/>
        <v>549000</v>
      </c>
      <c r="N854" s="19">
        <v>0</v>
      </c>
    </row>
    <row r="855" spans="1:14" x14ac:dyDescent="0.45">
      <c r="A855" s="4">
        <v>46091</v>
      </c>
      <c r="B855" s="4">
        <v>46093</v>
      </c>
      <c r="C855" s="5">
        <v>5801</v>
      </c>
      <c r="D855" s="9" t="s">
        <v>445</v>
      </c>
      <c r="E855" s="5" t="s">
        <v>67</v>
      </c>
      <c r="F855" s="5" t="s">
        <v>29</v>
      </c>
      <c r="G855" s="5" t="s">
        <v>30</v>
      </c>
      <c r="H855" s="5">
        <v>100</v>
      </c>
      <c r="I855" s="7">
        <v>28100</v>
      </c>
      <c r="J855" s="9">
        <v>0</v>
      </c>
      <c r="K855" s="9">
        <v>0</v>
      </c>
      <c r="L855" s="9" t="s">
        <v>31</v>
      </c>
      <c r="M855" s="15">
        <f t="shared" si="19"/>
        <v>2810000</v>
      </c>
      <c r="N855" s="19">
        <v>0</v>
      </c>
    </row>
    <row r="856" spans="1:14" x14ac:dyDescent="0.45">
      <c r="A856" s="4">
        <v>46091</v>
      </c>
      <c r="B856" s="4">
        <v>46093</v>
      </c>
      <c r="C856" s="5">
        <v>5801</v>
      </c>
      <c r="D856" s="9" t="s">
        <v>445</v>
      </c>
      <c r="E856" s="5" t="s">
        <v>67</v>
      </c>
      <c r="F856" s="5" t="s">
        <v>29</v>
      </c>
      <c r="G856" s="5" t="s">
        <v>41</v>
      </c>
      <c r="H856" s="5">
        <v>100</v>
      </c>
      <c r="I856" s="7">
        <v>27640.5</v>
      </c>
      <c r="J856" s="9">
        <v>0</v>
      </c>
      <c r="K856" s="9">
        <v>0</v>
      </c>
      <c r="L856" s="9" t="s">
        <v>90</v>
      </c>
      <c r="M856" s="15">
        <f t="shared" si="19"/>
        <v>2764050</v>
      </c>
      <c r="N856" s="19">
        <v>-45950</v>
      </c>
    </row>
    <row r="857" spans="1:14" x14ac:dyDescent="0.45">
      <c r="A857" s="4">
        <v>46092</v>
      </c>
      <c r="B857" s="4">
        <v>46094</v>
      </c>
      <c r="C857" s="5">
        <v>1540</v>
      </c>
      <c r="D857" s="9" t="s">
        <v>393</v>
      </c>
      <c r="E857" s="5" t="s">
        <v>67</v>
      </c>
      <c r="F857" s="5" t="s">
        <v>29</v>
      </c>
      <c r="G857" s="5" t="s">
        <v>30</v>
      </c>
      <c r="H857" s="5">
        <v>10</v>
      </c>
      <c r="I857" s="7">
        <v>24790</v>
      </c>
      <c r="J857" s="9">
        <v>0</v>
      </c>
      <c r="K857" s="9">
        <v>0</v>
      </c>
      <c r="L857" s="9" t="s">
        <v>31</v>
      </c>
      <c r="M857" s="15">
        <f t="shared" si="19"/>
        <v>247900</v>
      </c>
      <c r="N857" s="19">
        <v>0</v>
      </c>
    </row>
    <row r="858" spans="1:14" x14ac:dyDescent="0.45">
      <c r="A858" s="4">
        <v>46092</v>
      </c>
      <c r="B858" s="4">
        <v>46094</v>
      </c>
      <c r="C858" s="5">
        <v>5016</v>
      </c>
      <c r="D858" s="9" t="s">
        <v>439</v>
      </c>
      <c r="E858" s="5" t="s">
        <v>67</v>
      </c>
      <c r="F858" s="5" t="s">
        <v>29</v>
      </c>
      <c r="G858" s="5" t="s">
        <v>30</v>
      </c>
      <c r="H858" s="5">
        <v>100</v>
      </c>
      <c r="I858" s="7">
        <v>4326</v>
      </c>
      <c r="J858" s="9">
        <v>0</v>
      </c>
      <c r="K858" s="9">
        <v>0</v>
      </c>
      <c r="L858" s="9" t="s">
        <v>31</v>
      </c>
      <c r="M858" s="15">
        <f t="shared" si="19"/>
        <v>432600</v>
      </c>
      <c r="N858" s="19">
        <v>0</v>
      </c>
    </row>
    <row r="859" spans="1:14" x14ac:dyDescent="0.45">
      <c r="A859" s="4">
        <v>46092</v>
      </c>
      <c r="B859" s="4">
        <v>46094</v>
      </c>
      <c r="C859" s="5">
        <v>5801</v>
      </c>
      <c r="D859" s="9" t="s">
        <v>445</v>
      </c>
      <c r="E859" s="5" t="s">
        <v>67</v>
      </c>
      <c r="F859" s="5" t="s">
        <v>29</v>
      </c>
      <c r="G859" s="5" t="s">
        <v>30</v>
      </c>
      <c r="H859" s="5">
        <v>100</v>
      </c>
      <c r="I859" s="7">
        <v>30580</v>
      </c>
      <c r="J859" s="9">
        <v>0</v>
      </c>
      <c r="K859" s="9">
        <v>0</v>
      </c>
      <c r="L859" s="9" t="s">
        <v>31</v>
      </c>
      <c r="M859" s="15">
        <f t="shared" si="19"/>
        <v>3058000</v>
      </c>
      <c r="N859" s="19">
        <v>0</v>
      </c>
    </row>
    <row r="860" spans="1:14" x14ac:dyDescent="0.45">
      <c r="A860" s="4">
        <v>46092</v>
      </c>
      <c r="B860" s="4">
        <v>46094</v>
      </c>
      <c r="C860" s="5">
        <v>6965</v>
      </c>
      <c r="D860" s="9" t="s">
        <v>411</v>
      </c>
      <c r="E860" s="5" t="s">
        <v>67</v>
      </c>
      <c r="F860" s="5" t="s">
        <v>29</v>
      </c>
      <c r="G860" s="5" t="s">
        <v>30</v>
      </c>
      <c r="H860" s="5">
        <v>100</v>
      </c>
      <c r="I860" s="7">
        <v>2109.4</v>
      </c>
      <c r="J860" s="9">
        <v>0</v>
      </c>
      <c r="K860" s="9">
        <v>0</v>
      </c>
      <c r="L860" s="9" t="s">
        <v>31</v>
      </c>
      <c r="M860" s="15">
        <f t="shared" si="19"/>
        <v>210940</v>
      </c>
      <c r="N860" s="19">
        <v>0</v>
      </c>
    </row>
    <row r="861" spans="1:14" x14ac:dyDescent="0.45">
      <c r="A861" s="4">
        <v>46093</v>
      </c>
      <c r="B861" s="4">
        <v>46097</v>
      </c>
      <c r="C861" s="5">
        <v>6777</v>
      </c>
      <c r="D861" s="9" t="s">
        <v>450</v>
      </c>
      <c r="E861" s="5" t="s">
        <v>67</v>
      </c>
      <c r="F861" s="5" t="s">
        <v>29</v>
      </c>
      <c r="G861" s="5" t="s">
        <v>30</v>
      </c>
      <c r="H861" s="5">
        <v>100</v>
      </c>
      <c r="I861" s="7">
        <v>23500</v>
      </c>
      <c r="J861" s="9">
        <v>0</v>
      </c>
      <c r="K861" s="9">
        <v>0</v>
      </c>
      <c r="L861" s="9" t="s">
        <v>31</v>
      </c>
      <c r="M861" s="15">
        <f t="shared" si="19"/>
        <v>2350000</v>
      </c>
      <c r="N861" s="19">
        <v>0</v>
      </c>
    </row>
    <row r="862" spans="1:14" x14ac:dyDescent="0.45">
      <c r="A862" s="4">
        <v>46097</v>
      </c>
      <c r="B862" s="4">
        <v>46099</v>
      </c>
      <c r="C862" s="5">
        <v>6777</v>
      </c>
      <c r="D862" s="9" t="s">
        <v>450</v>
      </c>
      <c r="E862" s="5" t="s">
        <v>67</v>
      </c>
      <c r="F862" s="5" t="s">
        <v>29</v>
      </c>
      <c r="G862" s="5" t="s">
        <v>41</v>
      </c>
      <c r="H862" s="5">
        <v>100</v>
      </c>
      <c r="I862" s="7">
        <v>23520</v>
      </c>
      <c r="J862" s="9">
        <v>0</v>
      </c>
      <c r="K862" s="9">
        <v>0</v>
      </c>
      <c r="L862" s="9" t="s">
        <v>90</v>
      </c>
      <c r="M862" s="15">
        <f t="shared" si="19"/>
        <v>2352000</v>
      </c>
      <c r="N862" s="19">
        <v>2000</v>
      </c>
    </row>
    <row r="863" spans="1:14" x14ac:dyDescent="0.45">
      <c r="A863" s="4">
        <v>46098</v>
      </c>
      <c r="B863" s="4">
        <v>46100</v>
      </c>
      <c r="C863" s="5">
        <v>2556</v>
      </c>
      <c r="D863" s="9" t="s">
        <v>435</v>
      </c>
      <c r="E863" s="5" t="s">
        <v>67</v>
      </c>
      <c r="F863" s="5" t="s">
        <v>29</v>
      </c>
      <c r="G863" s="5" t="s">
        <v>41</v>
      </c>
      <c r="H863" s="5">
        <v>50</v>
      </c>
      <c r="I863" s="7">
        <v>2048</v>
      </c>
      <c r="J863" s="9">
        <v>0</v>
      </c>
      <c r="K863" s="9">
        <v>0</v>
      </c>
      <c r="L863" s="9" t="s">
        <v>90</v>
      </c>
      <c r="M863" s="15">
        <f t="shared" si="19"/>
        <v>102400</v>
      </c>
      <c r="N863" s="19">
        <v>550</v>
      </c>
    </row>
    <row r="864" spans="1:14" x14ac:dyDescent="0.45">
      <c r="A864" s="4">
        <v>46098</v>
      </c>
      <c r="B864" s="4">
        <v>46100</v>
      </c>
      <c r="C864" s="5" t="s">
        <v>446</v>
      </c>
      <c r="D864" s="9" t="s">
        <v>447</v>
      </c>
      <c r="E864" s="5" t="s">
        <v>67</v>
      </c>
      <c r="F864" s="5" t="s">
        <v>29</v>
      </c>
      <c r="G864" s="5" t="s">
        <v>41</v>
      </c>
      <c r="H864" s="5">
        <v>100</v>
      </c>
      <c r="I864" s="7">
        <v>22535</v>
      </c>
      <c r="J864" s="9">
        <v>0</v>
      </c>
      <c r="K864" s="9">
        <v>0</v>
      </c>
      <c r="L864" s="9" t="s">
        <v>90</v>
      </c>
      <c r="M864" s="15">
        <f t="shared" si="19"/>
        <v>2253500</v>
      </c>
      <c r="N864" s="19">
        <v>10500</v>
      </c>
    </row>
    <row r="865" spans="1:14" x14ac:dyDescent="0.45">
      <c r="A865" s="4">
        <v>46098</v>
      </c>
      <c r="B865" s="4">
        <v>46100</v>
      </c>
      <c r="C865" s="5">
        <v>9101</v>
      </c>
      <c r="D865" s="9" t="s">
        <v>94</v>
      </c>
      <c r="E865" s="5" t="s">
        <v>67</v>
      </c>
      <c r="F865" s="5" t="s">
        <v>29</v>
      </c>
      <c r="G865" s="5" t="s">
        <v>41</v>
      </c>
      <c r="H865" s="5">
        <v>100</v>
      </c>
      <c r="I865" s="7">
        <v>6032</v>
      </c>
      <c r="J865" s="9">
        <v>0</v>
      </c>
      <c r="K865" s="9">
        <v>0</v>
      </c>
      <c r="L865" s="9" t="s">
        <v>90</v>
      </c>
      <c r="M865" s="15">
        <f t="shared" si="19"/>
        <v>603200</v>
      </c>
      <c r="N865" s="19">
        <v>54200</v>
      </c>
    </row>
    <row r="866" spans="1:14" x14ac:dyDescent="0.45">
      <c r="A866" s="4">
        <v>46099</v>
      </c>
      <c r="B866" s="4">
        <v>46104</v>
      </c>
      <c r="C866" s="5" t="s">
        <v>424</v>
      </c>
      <c r="D866" s="9" t="s">
        <v>425</v>
      </c>
      <c r="E866" s="5" t="s">
        <v>67</v>
      </c>
      <c r="F866" s="5" t="s">
        <v>29</v>
      </c>
      <c r="G866" s="5" t="s">
        <v>30</v>
      </c>
      <c r="H866" s="5">
        <v>200</v>
      </c>
      <c r="I866" s="7">
        <v>1222</v>
      </c>
      <c r="J866" s="9">
        <v>0</v>
      </c>
      <c r="K866" s="9">
        <v>0</v>
      </c>
      <c r="L866" s="9" t="s">
        <v>31</v>
      </c>
      <c r="M866" s="15">
        <f t="shared" si="19"/>
        <v>244400</v>
      </c>
      <c r="N866" s="19">
        <v>0</v>
      </c>
    </row>
    <row r="867" spans="1:14" x14ac:dyDescent="0.45">
      <c r="A867" s="4">
        <v>46099</v>
      </c>
      <c r="B867" s="4">
        <v>46104</v>
      </c>
      <c r="C867" s="5">
        <v>6232</v>
      </c>
      <c r="D867" s="9" t="s">
        <v>452</v>
      </c>
      <c r="E867" s="5" t="s">
        <v>67</v>
      </c>
      <c r="F867" s="5" t="s">
        <v>29</v>
      </c>
      <c r="G867" s="5" t="s">
        <v>41</v>
      </c>
      <c r="H867" s="5">
        <v>100</v>
      </c>
      <c r="I867" s="7">
        <v>1657</v>
      </c>
      <c r="J867" s="9">
        <v>0</v>
      </c>
      <c r="K867" s="9">
        <v>0</v>
      </c>
      <c r="L867" s="9" t="s">
        <v>90</v>
      </c>
      <c r="M867" s="15">
        <f t="shared" si="19"/>
        <v>165700</v>
      </c>
      <c r="N867" s="19">
        <v>-4800</v>
      </c>
    </row>
    <row r="868" spans="1:14" x14ac:dyDescent="0.45">
      <c r="A868" s="4">
        <v>46099</v>
      </c>
      <c r="B868" s="4">
        <v>46104</v>
      </c>
      <c r="C868" s="5">
        <v>7003</v>
      </c>
      <c r="D868" s="9" t="s">
        <v>444</v>
      </c>
      <c r="E868" s="5" t="s">
        <v>67</v>
      </c>
      <c r="F868" s="5" t="s">
        <v>29</v>
      </c>
      <c r="G868" s="5" t="s">
        <v>30</v>
      </c>
      <c r="H868" s="5">
        <v>100</v>
      </c>
      <c r="I868" s="7">
        <v>6714</v>
      </c>
      <c r="J868" s="9">
        <v>0</v>
      </c>
      <c r="K868" s="9">
        <v>0</v>
      </c>
      <c r="L868" s="9" t="s">
        <v>31</v>
      </c>
      <c r="M868" s="15">
        <f t="shared" si="19"/>
        <v>671400</v>
      </c>
      <c r="N868" s="19">
        <v>0</v>
      </c>
    </row>
    <row r="869" spans="1:14" x14ac:dyDescent="0.45">
      <c r="A869" s="4">
        <v>46099</v>
      </c>
      <c r="B869" s="4">
        <v>46104</v>
      </c>
      <c r="C869" s="5">
        <v>8766</v>
      </c>
      <c r="D869" s="9" t="s">
        <v>44</v>
      </c>
      <c r="E869" s="5" t="s">
        <v>67</v>
      </c>
      <c r="F869" s="5" t="s">
        <v>29</v>
      </c>
      <c r="G869" s="5" t="s">
        <v>30</v>
      </c>
      <c r="H869" s="5">
        <v>100</v>
      </c>
      <c r="I869" s="7">
        <v>6067</v>
      </c>
      <c r="J869" s="9">
        <v>0</v>
      </c>
      <c r="K869" s="9">
        <v>0</v>
      </c>
      <c r="L869" s="9" t="s">
        <v>31</v>
      </c>
      <c r="M869" s="15">
        <f t="shared" si="19"/>
        <v>606700</v>
      </c>
      <c r="N869" s="19">
        <v>0</v>
      </c>
    </row>
    <row r="870" spans="1:14" x14ac:dyDescent="0.45">
      <c r="A870" s="4">
        <v>46106</v>
      </c>
      <c r="B870" s="4">
        <v>46108</v>
      </c>
      <c r="C870" s="5">
        <v>5801</v>
      </c>
      <c r="D870" s="9" t="s">
        <v>445</v>
      </c>
      <c r="E870" s="5" t="s">
        <v>67</v>
      </c>
      <c r="F870" s="5" t="s">
        <v>29</v>
      </c>
      <c r="G870" s="5" t="s">
        <v>41</v>
      </c>
      <c r="H870" s="5">
        <v>100</v>
      </c>
      <c r="I870" s="7">
        <v>30680</v>
      </c>
      <c r="J870" s="9">
        <v>0</v>
      </c>
      <c r="K870" s="9">
        <v>0</v>
      </c>
      <c r="L870" s="9" t="s">
        <v>90</v>
      </c>
      <c r="M870" s="15">
        <f t="shared" si="19"/>
        <v>3068000</v>
      </c>
      <c r="N870" s="19">
        <v>10000</v>
      </c>
    </row>
    <row r="871" spans="1:14" x14ac:dyDescent="0.45">
      <c r="A871" s="4">
        <v>46108</v>
      </c>
      <c r="B871" s="4">
        <v>46113</v>
      </c>
      <c r="C871" s="5">
        <v>7012</v>
      </c>
      <c r="D871" s="9" t="s">
        <v>69</v>
      </c>
      <c r="E871" s="5" t="s">
        <v>67</v>
      </c>
      <c r="F871" s="5"/>
      <c r="G871" s="5" t="s">
        <v>125</v>
      </c>
      <c r="H871" s="5">
        <v>400</v>
      </c>
      <c r="I871" s="7">
        <v>3693</v>
      </c>
      <c r="J871" s="9">
        <v>0</v>
      </c>
      <c r="K871" s="9">
        <v>0</v>
      </c>
      <c r="L871" s="9" t="s">
        <v>31</v>
      </c>
      <c r="M871" s="15">
        <v>0</v>
      </c>
      <c r="N871" s="19">
        <v>0</v>
      </c>
    </row>
    <row r="872" spans="1:14" x14ac:dyDescent="0.45">
      <c r="A872" s="4">
        <v>46108</v>
      </c>
      <c r="B872" s="4">
        <v>46113</v>
      </c>
      <c r="C872" s="5">
        <v>8136</v>
      </c>
      <c r="D872" s="9" t="s">
        <v>342</v>
      </c>
      <c r="E872" s="5" t="s">
        <v>67</v>
      </c>
      <c r="F872" s="5"/>
      <c r="G872" s="5" t="s">
        <v>125</v>
      </c>
      <c r="H872" s="5">
        <v>400</v>
      </c>
      <c r="I872" s="7">
        <v>1462.2</v>
      </c>
      <c r="J872" s="9">
        <v>0</v>
      </c>
      <c r="K872" s="9">
        <v>0</v>
      </c>
      <c r="L872" s="9" t="s">
        <v>31</v>
      </c>
      <c r="M872" s="15">
        <v>0</v>
      </c>
      <c r="N872" s="19">
        <v>0</v>
      </c>
    </row>
    <row r="873" spans="1:14" x14ac:dyDescent="0.45">
      <c r="A873" s="4">
        <v>46118</v>
      </c>
      <c r="B873" s="4">
        <v>46120</v>
      </c>
      <c r="C873" s="5">
        <v>1540</v>
      </c>
      <c r="D873" s="9" t="s">
        <v>393</v>
      </c>
      <c r="E873" s="5" t="s">
        <v>67</v>
      </c>
      <c r="F873" s="5" t="s">
        <v>29</v>
      </c>
      <c r="G873" s="5" t="s">
        <v>30</v>
      </c>
      <c r="H873" s="5">
        <v>5</v>
      </c>
      <c r="I873" s="7">
        <v>22244</v>
      </c>
      <c r="J873" s="9">
        <v>0</v>
      </c>
      <c r="K873" s="9">
        <v>0</v>
      </c>
      <c r="L873" s="9" t="s">
        <v>31</v>
      </c>
      <c r="M873" s="15">
        <f t="shared" ref="M873:M937" si="20">IF(G873="買付",H873*I873+SUM(J873:K873),H873*I873-SUM(J873:K873))</f>
        <v>111220</v>
      </c>
      <c r="N873" s="19">
        <v>0</v>
      </c>
    </row>
    <row r="874" spans="1:14" x14ac:dyDescent="0.45">
      <c r="A874" s="4">
        <v>46118</v>
      </c>
      <c r="B874" s="4">
        <v>46120</v>
      </c>
      <c r="C874" s="5">
        <v>2802</v>
      </c>
      <c r="D874" s="9" t="s">
        <v>399</v>
      </c>
      <c r="E874" s="5" t="s">
        <v>67</v>
      </c>
      <c r="F874" s="5" t="s">
        <v>29</v>
      </c>
      <c r="G874" s="5" t="s">
        <v>30</v>
      </c>
      <c r="H874" s="5">
        <v>100</v>
      </c>
      <c r="I874" s="7">
        <v>4677</v>
      </c>
      <c r="J874" s="9">
        <v>0</v>
      </c>
      <c r="K874" s="9">
        <v>0</v>
      </c>
      <c r="L874" s="9" t="s">
        <v>31</v>
      </c>
      <c r="M874" s="15">
        <f t="shared" si="20"/>
        <v>467700</v>
      </c>
      <c r="N874" s="19">
        <v>0</v>
      </c>
    </row>
    <row r="875" spans="1:14" x14ac:dyDescent="0.45">
      <c r="A875" s="4">
        <v>46118</v>
      </c>
      <c r="B875" s="4">
        <v>46120</v>
      </c>
      <c r="C875" s="5">
        <v>4063</v>
      </c>
      <c r="D875" s="9" t="s">
        <v>100</v>
      </c>
      <c r="E875" s="5" t="s">
        <v>67</v>
      </c>
      <c r="F875" s="5" t="s">
        <v>29</v>
      </c>
      <c r="G875" s="5" t="s">
        <v>30</v>
      </c>
      <c r="H875" s="5">
        <v>100</v>
      </c>
      <c r="I875" s="7">
        <v>6585</v>
      </c>
      <c r="J875" s="9">
        <v>0</v>
      </c>
      <c r="K875" s="9">
        <v>0</v>
      </c>
      <c r="L875" s="9" t="s">
        <v>31</v>
      </c>
      <c r="M875" s="15">
        <f t="shared" si="20"/>
        <v>658500</v>
      </c>
      <c r="N875" s="19">
        <v>0</v>
      </c>
    </row>
    <row r="876" spans="1:14" x14ac:dyDescent="0.45">
      <c r="A876" s="4">
        <v>46120</v>
      </c>
      <c r="B876" s="4">
        <v>46122</v>
      </c>
      <c r="C876" s="5" t="s">
        <v>424</v>
      </c>
      <c r="D876" s="9" t="s">
        <v>425</v>
      </c>
      <c r="E876" s="5" t="s">
        <v>67</v>
      </c>
      <c r="F876" s="5" t="s">
        <v>29</v>
      </c>
      <c r="G876" s="5" t="s">
        <v>30</v>
      </c>
      <c r="H876" s="5">
        <v>100</v>
      </c>
      <c r="I876" s="7">
        <v>1180</v>
      </c>
      <c r="J876" s="9">
        <v>0</v>
      </c>
      <c r="K876" s="9">
        <v>0</v>
      </c>
      <c r="L876" s="9" t="s">
        <v>31</v>
      </c>
      <c r="M876" s="15">
        <f t="shared" si="20"/>
        <v>118000</v>
      </c>
      <c r="N876" s="19">
        <v>0</v>
      </c>
    </row>
    <row r="877" spans="1:14" x14ac:dyDescent="0.45">
      <c r="A877" s="4">
        <v>46120</v>
      </c>
      <c r="B877" s="4">
        <v>46122</v>
      </c>
      <c r="C877" s="5">
        <v>5803</v>
      </c>
      <c r="D877" s="9" t="s">
        <v>400</v>
      </c>
      <c r="E877" s="5" t="s">
        <v>67</v>
      </c>
      <c r="F877" s="5" t="s">
        <v>29</v>
      </c>
      <c r="G877" s="5" t="s">
        <v>30</v>
      </c>
      <c r="H877" s="5">
        <v>100</v>
      </c>
      <c r="I877" s="7">
        <v>4829.2</v>
      </c>
      <c r="J877" s="9">
        <v>0</v>
      </c>
      <c r="K877" s="9">
        <v>0</v>
      </c>
      <c r="L877" s="9" t="s">
        <v>31</v>
      </c>
      <c r="M877" s="15">
        <f t="shared" si="20"/>
        <v>482920</v>
      </c>
      <c r="N877" s="19">
        <v>0</v>
      </c>
    </row>
    <row r="878" spans="1:14" x14ac:dyDescent="0.45">
      <c r="A878" s="4">
        <v>46120</v>
      </c>
      <c r="B878" s="4">
        <v>46122</v>
      </c>
      <c r="C878" s="5">
        <v>7721</v>
      </c>
      <c r="D878" s="9" t="s">
        <v>443</v>
      </c>
      <c r="E878" s="5" t="s">
        <v>67</v>
      </c>
      <c r="F878" s="5" t="s">
        <v>29</v>
      </c>
      <c r="G878" s="5" t="s">
        <v>30</v>
      </c>
      <c r="H878" s="5">
        <v>100</v>
      </c>
      <c r="I878" s="7">
        <v>7960</v>
      </c>
      <c r="J878" s="9">
        <v>0</v>
      </c>
      <c r="K878" s="9">
        <v>0</v>
      </c>
      <c r="L878" s="9" t="s">
        <v>31</v>
      </c>
      <c r="M878" s="15">
        <f t="shared" si="20"/>
        <v>796000</v>
      </c>
      <c r="N878" s="19">
        <v>0</v>
      </c>
    </row>
    <row r="879" spans="1:14" x14ac:dyDescent="0.45">
      <c r="A879" s="4">
        <v>46121</v>
      </c>
      <c r="B879" s="4">
        <v>46125</v>
      </c>
      <c r="C879" s="5" t="s">
        <v>424</v>
      </c>
      <c r="D879" s="9" t="s">
        <v>425</v>
      </c>
      <c r="E879" s="5" t="s">
        <v>67</v>
      </c>
      <c r="F879" s="5" t="s">
        <v>29</v>
      </c>
      <c r="G879" s="5" t="s">
        <v>41</v>
      </c>
      <c r="H879" s="5">
        <v>300</v>
      </c>
      <c r="I879" s="7">
        <v>1221</v>
      </c>
      <c r="J879" s="9">
        <v>0</v>
      </c>
      <c r="K879" s="9">
        <v>0</v>
      </c>
      <c r="L879" s="9" t="s">
        <v>90</v>
      </c>
      <c r="M879" s="15">
        <f t="shared" si="20"/>
        <v>366300</v>
      </c>
      <c r="N879" s="19">
        <v>3900</v>
      </c>
    </row>
    <row r="880" spans="1:14" x14ac:dyDescent="0.45">
      <c r="A880" s="4">
        <v>46121</v>
      </c>
      <c r="B880" s="4">
        <v>46125</v>
      </c>
      <c r="C880" s="5">
        <v>2802</v>
      </c>
      <c r="D880" s="9" t="s">
        <v>399</v>
      </c>
      <c r="E880" s="5" t="s">
        <v>67</v>
      </c>
      <c r="F880" s="5" t="s">
        <v>29</v>
      </c>
      <c r="G880" s="5" t="s">
        <v>30</v>
      </c>
      <c r="H880" s="5">
        <v>100</v>
      </c>
      <c r="I880" s="7">
        <v>4715</v>
      </c>
      <c r="J880" s="9">
        <v>0</v>
      </c>
      <c r="K880" s="9">
        <v>0</v>
      </c>
      <c r="L880" s="9" t="s">
        <v>31</v>
      </c>
      <c r="M880" s="15">
        <f t="shared" si="20"/>
        <v>471500</v>
      </c>
      <c r="N880" s="19">
        <v>0</v>
      </c>
    </row>
    <row r="881" spans="1:14" x14ac:dyDescent="0.45">
      <c r="A881" s="4">
        <v>46121</v>
      </c>
      <c r="B881" s="4">
        <v>46125</v>
      </c>
      <c r="C881" s="5">
        <v>5803</v>
      </c>
      <c r="D881" s="9" t="s">
        <v>400</v>
      </c>
      <c r="E881" s="5" t="s">
        <v>67</v>
      </c>
      <c r="F881" s="5" t="s">
        <v>29</v>
      </c>
      <c r="G881" s="5" t="s">
        <v>30</v>
      </c>
      <c r="H881" s="5">
        <v>100</v>
      </c>
      <c r="I881" s="7">
        <v>5021</v>
      </c>
      <c r="J881" s="9">
        <v>0</v>
      </c>
      <c r="K881" s="9">
        <v>0</v>
      </c>
      <c r="L881" s="9" t="s">
        <v>31</v>
      </c>
      <c r="M881" s="15">
        <f t="shared" si="20"/>
        <v>502100</v>
      </c>
      <c r="N881" s="19">
        <v>0</v>
      </c>
    </row>
    <row r="882" spans="1:14" x14ac:dyDescent="0.45">
      <c r="A882" s="4">
        <v>46122</v>
      </c>
      <c r="B882" s="4">
        <v>46126</v>
      </c>
      <c r="C882" s="5" t="s">
        <v>424</v>
      </c>
      <c r="D882" s="9" t="s">
        <v>425</v>
      </c>
      <c r="E882" s="5" t="s">
        <v>67</v>
      </c>
      <c r="F882" s="5" t="s">
        <v>29</v>
      </c>
      <c r="G882" s="5" t="s">
        <v>30</v>
      </c>
      <c r="H882" s="5">
        <v>100</v>
      </c>
      <c r="I882" s="7">
        <v>1344.4</v>
      </c>
      <c r="J882" s="9">
        <v>0</v>
      </c>
      <c r="K882" s="9">
        <v>0</v>
      </c>
      <c r="L882" s="9" t="s">
        <v>31</v>
      </c>
      <c r="M882" s="15">
        <f t="shared" si="20"/>
        <v>134440</v>
      </c>
      <c r="N882" s="19">
        <v>0</v>
      </c>
    </row>
    <row r="883" spans="1:14" x14ac:dyDescent="0.45">
      <c r="A883" s="4">
        <v>46122</v>
      </c>
      <c r="B883" s="4">
        <v>46126</v>
      </c>
      <c r="C883" s="5">
        <v>6590</v>
      </c>
      <c r="D883" s="9" t="s">
        <v>410</v>
      </c>
      <c r="E883" s="5" t="s">
        <v>67</v>
      </c>
      <c r="F883" s="5" t="s">
        <v>29</v>
      </c>
      <c r="G883" s="5" t="s">
        <v>30</v>
      </c>
      <c r="H883" s="5">
        <v>100</v>
      </c>
      <c r="I883" s="7">
        <v>4810</v>
      </c>
      <c r="J883" s="9">
        <v>0</v>
      </c>
      <c r="K883" s="9">
        <v>0</v>
      </c>
      <c r="L883" s="9" t="s">
        <v>31</v>
      </c>
      <c r="M883" s="15">
        <f t="shared" si="20"/>
        <v>481000</v>
      </c>
      <c r="N883" s="19">
        <v>0</v>
      </c>
    </row>
    <row r="884" spans="1:14" x14ac:dyDescent="0.45">
      <c r="A884" s="4">
        <v>46125</v>
      </c>
      <c r="B884" s="4">
        <v>46127</v>
      </c>
      <c r="C884" s="5">
        <v>4063</v>
      </c>
      <c r="D884" s="9" t="s">
        <v>100</v>
      </c>
      <c r="E884" s="5" t="s">
        <v>67</v>
      </c>
      <c r="F884" s="5" t="s">
        <v>29</v>
      </c>
      <c r="G884" s="5" t="s">
        <v>41</v>
      </c>
      <c r="H884" s="5">
        <v>100</v>
      </c>
      <c r="I884" s="7">
        <v>6592</v>
      </c>
      <c r="J884" s="9">
        <v>0</v>
      </c>
      <c r="K884" s="9">
        <v>0</v>
      </c>
      <c r="L884" s="9" t="s">
        <v>90</v>
      </c>
      <c r="M884" s="15">
        <f t="shared" si="20"/>
        <v>659200</v>
      </c>
      <c r="N884" s="19">
        <v>700</v>
      </c>
    </row>
    <row r="885" spans="1:14" x14ac:dyDescent="0.45">
      <c r="A885" s="4">
        <v>46125</v>
      </c>
      <c r="B885" s="4">
        <v>46127</v>
      </c>
      <c r="C885" s="5">
        <v>5016</v>
      </c>
      <c r="D885" s="9" t="s">
        <v>439</v>
      </c>
      <c r="E885" s="5" t="s">
        <v>67</v>
      </c>
      <c r="F885" s="5" t="s">
        <v>29</v>
      </c>
      <c r="G885" s="5" t="s">
        <v>41</v>
      </c>
      <c r="H885" s="5">
        <v>100</v>
      </c>
      <c r="I885" s="7">
        <v>4560</v>
      </c>
      <c r="J885" s="9">
        <v>0</v>
      </c>
      <c r="K885" s="9">
        <v>0</v>
      </c>
      <c r="L885" s="9" t="s">
        <v>90</v>
      </c>
      <c r="M885" s="15">
        <f t="shared" si="20"/>
        <v>456000</v>
      </c>
      <c r="N885" s="19">
        <v>23400</v>
      </c>
    </row>
    <row r="886" spans="1:14" x14ac:dyDescent="0.45">
      <c r="A886" s="4">
        <v>46125</v>
      </c>
      <c r="B886" s="4">
        <v>46127</v>
      </c>
      <c r="C886" s="5">
        <v>5803</v>
      </c>
      <c r="D886" s="9" t="s">
        <v>400</v>
      </c>
      <c r="E886" s="5" t="s">
        <v>67</v>
      </c>
      <c r="F886" s="5" t="s">
        <v>29</v>
      </c>
      <c r="G886" s="5" t="s">
        <v>41</v>
      </c>
      <c r="H886" s="5">
        <v>200</v>
      </c>
      <c r="I886" s="7">
        <v>5761.2</v>
      </c>
      <c r="J886" s="9">
        <v>0</v>
      </c>
      <c r="K886" s="9">
        <v>0</v>
      </c>
      <c r="L886" s="9" t="s">
        <v>90</v>
      </c>
      <c r="M886" s="15">
        <f t="shared" si="20"/>
        <v>1152240</v>
      </c>
      <c r="N886" s="19">
        <f>83520*2</f>
        <v>167040</v>
      </c>
    </row>
    <row r="887" spans="1:14" x14ac:dyDescent="0.45">
      <c r="A887" s="4">
        <v>46125</v>
      </c>
      <c r="B887" s="4">
        <v>46127</v>
      </c>
      <c r="C887" s="5">
        <v>8766</v>
      </c>
      <c r="D887" s="9" t="s">
        <v>44</v>
      </c>
      <c r="E887" s="5" t="s">
        <v>67</v>
      </c>
      <c r="F887" s="5" t="s">
        <v>29</v>
      </c>
      <c r="G887" s="5" t="s">
        <v>41</v>
      </c>
      <c r="H887" s="5">
        <v>100</v>
      </c>
      <c r="I887" s="7">
        <v>7044</v>
      </c>
      <c r="J887" s="9">
        <v>0</v>
      </c>
      <c r="K887" s="9">
        <v>0</v>
      </c>
      <c r="L887" s="9" t="s">
        <v>90</v>
      </c>
      <c r="M887" s="15">
        <f t="shared" si="20"/>
        <v>704400</v>
      </c>
      <c r="N887" s="19">
        <v>97700</v>
      </c>
    </row>
    <row r="888" spans="1:14" x14ac:dyDescent="0.45">
      <c r="A888" s="4">
        <v>46127</v>
      </c>
      <c r="B888" s="4">
        <v>46129</v>
      </c>
      <c r="C888" s="5" t="s">
        <v>424</v>
      </c>
      <c r="D888" s="9" t="s">
        <v>425</v>
      </c>
      <c r="E888" s="5" t="s">
        <v>67</v>
      </c>
      <c r="F888" s="5" t="s">
        <v>29</v>
      </c>
      <c r="G888" s="5" t="s">
        <v>41</v>
      </c>
      <c r="H888" s="5">
        <v>100</v>
      </c>
      <c r="I888" s="7">
        <v>1352</v>
      </c>
      <c r="J888" s="9">
        <v>0</v>
      </c>
      <c r="K888" s="9">
        <v>0</v>
      </c>
      <c r="L888" s="9" t="s">
        <v>90</v>
      </c>
      <c r="M888" s="15">
        <f t="shared" si="20"/>
        <v>135200</v>
      </c>
      <c r="N888" s="19">
        <v>700</v>
      </c>
    </row>
    <row r="889" spans="1:14" x14ac:dyDescent="0.45">
      <c r="A889" s="4">
        <v>46127</v>
      </c>
      <c r="B889" s="4">
        <v>46129</v>
      </c>
      <c r="C889" s="5">
        <v>6324</v>
      </c>
      <c r="D889" s="9" t="s">
        <v>454</v>
      </c>
      <c r="E889" s="5" t="s">
        <v>67</v>
      </c>
      <c r="F889" s="5" t="s">
        <v>29</v>
      </c>
      <c r="G889" s="5" t="s">
        <v>30</v>
      </c>
      <c r="H889" s="5">
        <v>100</v>
      </c>
      <c r="I889" s="7">
        <v>4380</v>
      </c>
      <c r="J889" s="9">
        <v>0</v>
      </c>
      <c r="K889" s="9">
        <v>0</v>
      </c>
      <c r="L889" s="9" t="s">
        <v>31</v>
      </c>
      <c r="M889" s="15">
        <f t="shared" si="20"/>
        <v>438000</v>
      </c>
      <c r="N889" s="19">
        <v>0</v>
      </c>
    </row>
    <row r="890" spans="1:14" x14ac:dyDescent="0.45">
      <c r="A890" s="4">
        <v>46127</v>
      </c>
      <c r="B890" s="4">
        <v>46129</v>
      </c>
      <c r="C890" s="5">
        <v>8316</v>
      </c>
      <c r="D890" s="9" t="s">
        <v>401</v>
      </c>
      <c r="E890" s="5" t="s">
        <v>67</v>
      </c>
      <c r="F890" s="5" t="s">
        <v>29</v>
      </c>
      <c r="G890" s="5" t="s">
        <v>30</v>
      </c>
      <c r="H890" s="5">
        <v>100</v>
      </c>
      <c r="I890" s="7">
        <v>5653</v>
      </c>
      <c r="J890" s="9">
        <v>0</v>
      </c>
      <c r="K890" s="9">
        <v>0</v>
      </c>
      <c r="L890" s="9" t="s">
        <v>31</v>
      </c>
      <c r="M890" s="15">
        <f t="shared" si="20"/>
        <v>565300</v>
      </c>
      <c r="N890" s="19">
        <v>0</v>
      </c>
    </row>
    <row r="891" spans="1:14" x14ac:dyDescent="0.45">
      <c r="A891" s="4">
        <v>46128</v>
      </c>
      <c r="B891" s="4">
        <v>46132</v>
      </c>
      <c r="C891" s="5">
        <v>6590</v>
      </c>
      <c r="D891" s="9" t="s">
        <v>410</v>
      </c>
      <c r="E891" s="5" t="s">
        <v>67</v>
      </c>
      <c r="F891" s="5" t="s">
        <v>29</v>
      </c>
      <c r="G891" s="5" t="s">
        <v>41</v>
      </c>
      <c r="H891" s="5">
        <v>100</v>
      </c>
      <c r="I891" s="7">
        <v>5410</v>
      </c>
      <c r="J891" s="9">
        <v>0</v>
      </c>
      <c r="K891" s="9">
        <v>0</v>
      </c>
      <c r="L891" s="9" t="s">
        <v>90</v>
      </c>
      <c r="M891" s="15">
        <f t="shared" si="20"/>
        <v>541000</v>
      </c>
      <c r="N891" s="19">
        <v>60000</v>
      </c>
    </row>
    <row r="892" spans="1:14" x14ac:dyDescent="0.45">
      <c r="A892" s="4">
        <v>46129</v>
      </c>
      <c r="B892" s="4">
        <v>46133</v>
      </c>
      <c r="C892" s="5">
        <v>6324</v>
      </c>
      <c r="D892" s="9" t="s">
        <v>454</v>
      </c>
      <c r="E892" s="5" t="s">
        <v>67</v>
      </c>
      <c r="F892" s="5" t="s">
        <v>29</v>
      </c>
      <c r="G892" s="5" t="s">
        <v>41</v>
      </c>
      <c r="H892" s="5">
        <v>100</v>
      </c>
      <c r="I892" s="7">
        <v>4545</v>
      </c>
      <c r="J892" s="9">
        <v>0</v>
      </c>
      <c r="K892" s="9">
        <v>0</v>
      </c>
      <c r="L892" s="9" t="s">
        <v>90</v>
      </c>
      <c r="M892" s="15">
        <f t="shared" si="20"/>
        <v>454500</v>
      </c>
      <c r="N892" s="19">
        <v>16500</v>
      </c>
    </row>
    <row r="893" spans="1:14" x14ac:dyDescent="0.45">
      <c r="A893" s="4">
        <v>46133</v>
      </c>
      <c r="B893" s="4">
        <v>46135</v>
      </c>
      <c r="C893" s="5">
        <v>1540</v>
      </c>
      <c r="D893" s="9" t="s">
        <v>393</v>
      </c>
      <c r="E893" s="5" t="s">
        <v>67</v>
      </c>
      <c r="F893" s="5" t="s">
        <v>29</v>
      </c>
      <c r="G893" s="5" t="s">
        <v>30</v>
      </c>
      <c r="H893" s="5">
        <v>5</v>
      </c>
      <c r="I893" s="7">
        <v>22875</v>
      </c>
      <c r="J893" s="9">
        <v>0</v>
      </c>
      <c r="K893" s="9">
        <v>0</v>
      </c>
      <c r="L893" s="9" t="s">
        <v>31</v>
      </c>
      <c r="M893" s="15">
        <f t="shared" si="20"/>
        <v>114375</v>
      </c>
      <c r="N893" s="19">
        <v>0</v>
      </c>
    </row>
    <row r="894" spans="1:14" x14ac:dyDescent="0.45">
      <c r="A894" s="4">
        <v>46133</v>
      </c>
      <c r="B894" s="4">
        <v>46135</v>
      </c>
      <c r="C894" s="5" t="s">
        <v>424</v>
      </c>
      <c r="D894" s="9" t="s">
        <v>425</v>
      </c>
      <c r="E894" s="5" t="s">
        <v>67</v>
      </c>
      <c r="F894" s="5" t="s">
        <v>29</v>
      </c>
      <c r="G894" s="5" t="s">
        <v>30</v>
      </c>
      <c r="H894" s="5">
        <v>100</v>
      </c>
      <c r="I894" s="7">
        <v>1483</v>
      </c>
      <c r="J894" s="9">
        <v>0</v>
      </c>
      <c r="K894" s="9">
        <v>0</v>
      </c>
      <c r="L894" s="9" t="s">
        <v>31</v>
      </c>
      <c r="M894" s="15">
        <f t="shared" si="20"/>
        <v>148300</v>
      </c>
      <c r="N894" s="19">
        <v>0</v>
      </c>
    </row>
    <row r="895" spans="1:14" x14ac:dyDescent="0.45">
      <c r="A895" s="4">
        <v>46133</v>
      </c>
      <c r="B895" s="4">
        <v>46135</v>
      </c>
      <c r="C895" s="5">
        <v>1942</v>
      </c>
      <c r="D895" s="9" t="s">
        <v>455</v>
      </c>
      <c r="E895" s="5" t="s">
        <v>67</v>
      </c>
      <c r="F895" s="5" t="s">
        <v>29</v>
      </c>
      <c r="G895" s="5" t="s">
        <v>30</v>
      </c>
      <c r="H895" s="5">
        <v>100</v>
      </c>
      <c r="I895" s="7">
        <v>6125</v>
      </c>
      <c r="J895" s="9">
        <v>0</v>
      </c>
      <c r="K895" s="9">
        <v>0</v>
      </c>
      <c r="L895" s="9" t="s">
        <v>31</v>
      </c>
      <c r="M895" s="15">
        <f t="shared" si="20"/>
        <v>612500</v>
      </c>
      <c r="N895" s="19">
        <v>0</v>
      </c>
    </row>
    <row r="896" spans="1:14" x14ac:dyDescent="0.45">
      <c r="A896" s="4">
        <v>46133</v>
      </c>
      <c r="B896" s="4">
        <v>46135</v>
      </c>
      <c r="C896" s="5">
        <v>5803</v>
      </c>
      <c r="D896" s="9" t="s">
        <v>400</v>
      </c>
      <c r="E896" s="5" t="s">
        <v>67</v>
      </c>
      <c r="F896" s="5" t="s">
        <v>29</v>
      </c>
      <c r="G896" s="5" t="s">
        <v>30</v>
      </c>
      <c r="H896" s="5">
        <v>100</v>
      </c>
      <c r="I896" s="7">
        <v>5806</v>
      </c>
      <c r="J896" s="9">
        <v>0</v>
      </c>
      <c r="K896" s="9">
        <v>0</v>
      </c>
      <c r="L896" s="9" t="s">
        <v>31</v>
      </c>
      <c r="M896" s="15">
        <f t="shared" si="20"/>
        <v>580600</v>
      </c>
      <c r="N896" s="19">
        <v>0</v>
      </c>
    </row>
    <row r="897" spans="1:14" x14ac:dyDescent="0.45">
      <c r="A897" s="4">
        <v>46133</v>
      </c>
      <c r="B897" s="4">
        <v>46135</v>
      </c>
      <c r="C897" s="5">
        <v>6098</v>
      </c>
      <c r="D897" s="9" t="s">
        <v>456</v>
      </c>
      <c r="E897" s="5" t="s">
        <v>67</v>
      </c>
      <c r="F897" s="5" t="s">
        <v>29</v>
      </c>
      <c r="G897" s="5" t="s">
        <v>30</v>
      </c>
      <c r="H897" s="5">
        <v>100</v>
      </c>
      <c r="I897" s="7">
        <v>7821.9</v>
      </c>
      <c r="J897" s="9">
        <v>0</v>
      </c>
      <c r="K897" s="9">
        <v>0</v>
      </c>
      <c r="L897" s="9" t="s">
        <v>31</v>
      </c>
      <c r="M897" s="15">
        <f t="shared" si="20"/>
        <v>782190</v>
      </c>
      <c r="N897" s="19">
        <v>0</v>
      </c>
    </row>
    <row r="898" spans="1:14" x14ac:dyDescent="0.45">
      <c r="A898" s="4">
        <v>46133</v>
      </c>
      <c r="B898" s="4">
        <v>46135</v>
      </c>
      <c r="C898" s="5">
        <v>6954</v>
      </c>
      <c r="D898" s="9" t="s">
        <v>431</v>
      </c>
      <c r="E898" s="5" t="s">
        <v>67</v>
      </c>
      <c r="F898" s="5" t="s">
        <v>29</v>
      </c>
      <c r="G898" s="5" t="s">
        <v>30</v>
      </c>
      <c r="H898" s="5">
        <v>100</v>
      </c>
      <c r="I898" s="7">
        <v>6533.8</v>
      </c>
      <c r="J898" s="9">
        <v>0</v>
      </c>
      <c r="K898" s="9">
        <v>0</v>
      </c>
      <c r="L898" s="9" t="s">
        <v>31</v>
      </c>
      <c r="M898" s="15">
        <f t="shared" si="20"/>
        <v>653380</v>
      </c>
      <c r="N898" s="19">
        <v>0</v>
      </c>
    </row>
    <row r="899" spans="1:14" x14ac:dyDescent="0.45">
      <c r="A899" s="4">
        <v>46133</v>
      </c>
      <c r="B899" s="4">
        <v>46135</v>
      </c>
      <c r="C899" s="5">
        <v>8766</v>
      </c>
      <c r="D899" s="9" t="s">
        <v>44</v>
      </c>
      <c r="E899" s="5" t="s">
        <v>67</v>
      </c>
      <c r="F899" s="5" t="s">
        <v>29</v>
      </c>
      <c r="G899" s="5" t="s">
        <v>30</v>
      </c>
      <c r="H899" s="5">
        <v>100</v>
      </c>
      <c r="I899" s="7">
        <v>7248</v>
      </c>
      <c r="J899" s="9">
        <v>0</v>
      </c>
      <c r="K899" s="9">
        <v>0</v>
      </c>
      <c r="L899" s="9" t="s">
        <v>31</v>
      </c>
      <c r="M899" s="15">
        <f t="shared" si="20"/>
        <v>724800</v>
      </c>
      <c r="N899" s="19">
        <v>0</v>
      </c>
    </row>
    <row r="900" spans="1:14" x14ac:dyDescent="0.45">
      <c r="A900" s="4">
        <v>46134</v>
      </c>
      <c r="B900" s="4">
        <v>46136</v>
      </c>
      <c r="C900" s="5">
        <v>5805</v>
      </c>
      <c r="D900" s="9" t="s">
        <v>457</v>
      </c>
      <c r="E900" s="5" t="s">
        <v>67</v>
      </c>
      <c r="F900" s="5" t="s">
        <v>29</v>
      </c>
      <c r="G900" s="5" t="s">
        <v>30</v>
      </c>
      <c r="H900" s="5">
        <v>100</v>
      </c>
      <c r="I900" s="7">
        <v>15600</v>
      </c>
      <c r="J900" s="9">
        <v>0</v>
      </c>
      <c r="K900" s="9">
        <v>0</v>
      </c>
      <c r="L900" s="9" t="s">
        <v>31</v>
      </c>
      <c r="M900" s="15">
        <f t="shared" si="20"/>
        <v>1560000</v>
      </c>
      <c r="N900" s="19">
        <v>0</v>
      </c>
    </row>
    <row r="901" spans="1:14" x14ac:dyDescent="0.45">
      <c r="A901" s="4">
        <v>46134</v>
      </c>
      <c r="B901" s="4">
        <v>46136</v>
      </c>
      <c r="C901" s="5">
        <v>6857</v>
      </c>
      <c r="D901" s="9" t="s">
        <v>458</v>
      </c>
      <c r="E901" s="5" t="s">
        <v>67</v>
      </c>
      <c r="F901" s="5" t="s">
        <v>29</v>
      </c>
      <c r="G901" s="5" t="s">
        <v>30</v>
      </c>
      <c r="H901" s="5">
        <v>100</v>
      </c>
      <c r="I901" s="7">
        <v>27875</v>
      </c>
      <c r="J901" s="9">
        <v>0</v>
      </c>
      <c r="K901" s="9">
        <v>0</v>
      </c>
      <c r="L901" s="9" t="s">
        <v>31</v>
      </c>
      <c r="M901" s="15">
        <f t="shared" si="20"/>
        <v>2787500</v>
      </c>
      <c r="N901" s="19">
        <v>0</v>
      </c>
    </row>
    <row r="902" spans="1:14" x14ac:dyDescent="0.45">
      <c r="A902" s="4">
        <v>46135</v>
      </c>
      <c r="B902" s="4">
        <v>46139</v>
      </c>
      <c r="C902" s="5">
        <v>5803</v>
      </c>
      <c r="D902" s="9" t="s">
        <v>400</v>
      </c>
      <c r="E902" s="5" t="s">
        <v>67</v>
      </c>
      <c r="F902" s="5" t="s">
        <v>29</v>
      </c>
      <c r="G902" s="5" t="s">
        <v>41</v>
      </c>
      <c r="H902" s="5">
        <v>100</v>
      </c>
      <c r="I902" s="7">
        <v>5866</v>
      </c>
      <c r="J902" s="9">
        <v>0</v>
      </c>
      <c r="K902" s="9">
        <v>0</v>
      </c>
      <c r="L902" s="9" t="s">
        <v>90</v>
      </c>
      <c r="M902" s="15">
        <f t="shared" si="20"/>
        <v>586600</v>
      </c>
      <c r="N902" s="19">
        <v>6000</v>
      </c>
    </row>
    <row r="903" spans="1:14" x14ac:dyDescent="0.45">
      <c r="A903" s="4">
        <v>46135</v>
      </c>
      <c r="B903" s="4">
        <v>46139</v>
      </c>
      <c r="C903" s="5">
        <v>6857</v>
      </c>
      <c r="D903" s="9" t="s">
        <v>458</v>
      </c>
      <c r="E903" s="5" t="s">
        <v>67</v>
      </c>
      <c r="F903" s="5" t="s">
        <v>29</v>
      </c>
      <c r="G903" s="5" t="s">
        <v>41</v>
      </c>
      <c r="H903" s="5">
        <v>100</v>
      </c>
      <c r="I903" s="7">
        <v>28445</v>
      </c>
      <c r="J903" s="9">
        <v>0</v>
      </c>
      <c r="K903" s="9">
        <v>0</v>
      </c>
      <c r="L903" s="9" t="s">
        <v>90</v>
      </c>
      <c r="M903" s="15">
        <f t="shared" si="20"/>
        <v>2844500</v>
      </c>
      <c r="N903" s="19">
        <v>57000</v>
      </c>
    </row>
    <row r="904" spans="1:14" x14ac:dyDescent="0.45">
      <c r="A904" s="4">
        <v>46135</v>
      </c>
      <c r="B904" s="4">
        <v>46139</v>
      </c>
      <c r="C904" s="5">
        <v>7721</v>
      </c>
      <c r="D904" s="9" t="s">
        <v>443</v>
      </c>
      <c r="E904" s="5" t="s">
        <v>67</v>
      </c>
      <c r="F904" s="5" t="s">
        <v>29</v>
      </c>
      <c r="G904" s="5" t="s">
        <v>41</v>
      </c>
      <c r="H904" s="5">
        <v>100</v>
      </c>
      <c r="I904" s="7">
        <v>8141</v>
      </c>
      <c r="J904" s="9">
        <v>0</v>
      </c>
      <c r="K904" s="9">
        <v>0</v>
      </c>
      <c r="L904" s="9" t="s">
        <v>90</v>
      </c>
      <c r="M904" s="15">
        <f t="shared" si="20"/>
        <v>814100</v>
      </c>
      <c r="N904" s="19">
        <v>18100</v>
      </c>
    </row>
    <row r="905" spans="1:14" x14ac:dyDescent="0.45">
      <c r="A905" s="4">
        <v>46136</v>
      </c>
      <c r="B905" s="4">
        <v>46140</v>
      </c>
      <c r="C905" s="5">
        <v>5803</v>
      </c>
      <c r="D905" s="9" t="s">
        <v>400</v>
      </c>
      <c r="E905" s="5" t="s">
        <v>67</v>
      </c>
      <c r="F905" s="5" t="s">
        <v>29</v>
      </c>
      <c r="G905" s="5" t="s">
        <v>30</v>
      </c>
      <c r="H905" s="5">
        <v>100</v>
      </c>
      <c r="I905" s="7">
        <v>6050</v>
      </c>
      <c r="J905" s="9">
        <v>0</v>
      </c>
      <c r="K905" s="9">
        <v>0</v>
      </c>
      <c r="L905" s="9" t="s">
        <v>31</v>
      </c>
      <c r="M905" s="15">
        <f t="shared" si="20"/>
        <v>605000</v>
      </c>
      <c r="N905" s="19">
        <v>0</v>
      </c>
    </row>
    <row r="906" spans="1:14" x14ac:dyDescent="0.45">
      <c r="A906" s="4">
        <v>46136</v>
      </c>
      <c r="B906" s="4">
        <v>46140</v>
      </c>
      <c r="C906" s="5">
        <v>6857</v>
      </c>
      <c r="D906" s="9" t="s">
        <v>458</v>
      </c>
      <c r="E906" s="5" t="s">
        <v>67</v>
      </c>
      <c r="F906" s="5" t="s">
        <v>29</v>
      </c>
      <c r="G906" s="5" t="s">
        <v>30</v>
      </c>
      <c r="H906" s="5">
        <v>100</v>
      </c>
      <c r="I906" s="7">
        <v>29235.3</v>
      </c>
      <c r="J906" s="9">
        <v>0</v>
      </c>
      <c r="K906" s="9">
        <v>0</v>
      </c>
      <c r="L906" s="9" t="s">
        <v>31</v>
      </c>
      <c r="M906" s="15">
        <f t="shared" si="20"/>
        <v>2923530</v>
      </c>
      <c r="N906" s="19">
        <v>0</v>
      </c>
    </row>
    <row r="907" spans="1:14" x14ac:dyDescent="0.45">
      <c r="A907" s="4">
        <v>46136</v>
      </c>
      <c r="B907" s="4">
        <v>46140</v>
      </c>
      <c r="C907" s="5">
        <v>6890</v>
      </c>
      <c r="D907" s="9" t="s">
        <v>459</v>
      </c>
      <c r="E907" s="5" t="s">
        <v>67</v>
      </c>
      <c r="F907" s="5" t="s">
        <v>29</v>
      </c>
      <c r="G907" s="5" t="s">
        <v>30</v>
      </c>
      <c r="H907" s="5">
        <v>100</v>
      </c>
      <c r="I907" s="7">
        <v>7496</v>
      </c>
      <c r="J907" s="9">
        <v>0</v>
      </c>
      <c r="K907" s="9">
        <v>0</v>
      </c>
      <c r="L907" s="9" t="s">
        <v>31</v>
      </c>
      <c r="M907" s="15">
        <f t="shared" si="20"/>
        <v>749600</v>
      </c>
      <c r="N907" s="19">
        <v>0</v>
      </c>
    </row>
    <row r="908" spans="1:14" x14ac:dyDescent="0.45">
      <c r="A908" s="4">
        <v>46139</v>
      </c>
      <c r="B908" s="4">
        <v>46142</v>
      </c>
      <c r="C908" s="5">
        <v>2802</v>
      </c>
      <c r="D908" s="9" t="s">
        <v>399</v>
      </c>
      <c r="E908" s="5" t="s">
        <v>67</v>
      </c>
      <c r="F908" s="5" t="s">
        <v>29</v>
      </c>
      <c r="G908" s="5" t="s">
        <v>41</v>
      </c>
      <c r="H908" s="5">
        <v>200</v>
      </c>
      <c r="I908" s="7">
        <v>4790</v>
      </c>
      <c r="J908" s="9">
        <v>0</v>
      </c>
      <c r="K908" s="9">
        <v>0</v>
      </c>
      <c r="L908" s="9" t="s">
        <v>90</v>
      </c>
      <c r="M908" s="15">
        <f t="shared" si="20"/>
        <v>958000</v>
      </c>
      <c r="N908" s="19">
        <f>9400*2</f>
        <v>18800</v>
      </c>
    </row>
    <row r="909" spans="1:14" x14ac:dyDescent="0.45">
      <c r="A909" s="4">
        <v>46139</v>
      </c>
      <c r="B909" s="4">
        <v>46142</v>
      </c>
      <c r="C909" s="5">
        <v>5803</v>
      </c>
      <c r="D909" s="9" t="s">
        <v>400</v>
      </c>
      <c r="E909" s="5" t="s">
        <v>67</v>
      </c>
      <c r="F909" s="5" t="s">
        <v>29</v>
      </c>
      <c r="G909" s="5" t="s">
        <v>30</v>
      </c>
      <c r="H909" s="5">
        <v>100</v>
      </c>
      <c r="I909" s="7">
        <v>6360</v>
      </c>
      <c r="J909" s="9">
        <v>0</v>
      </c>
      <c r="K909" s="9">
        <v>0</v>
      </c>
      <c r="L909" s="9" t="s">
        <v>31</v>
      </c>
      <c r="M909" s="15">
        <f t="shared" si="20"/>
        <v>636000</v>
      </c>
      <c r="N909" s="19">
        <v>0</v>
      </c>
    </row>
    <row r="910" spans="1:14" x14ac:dyDescent="0.45">
      <c r="A910" s="4">
        <v>46139</v>
      </c>
      <c r="B910" s="4">
        <v>46142</v>
      </c>
      <c r="C910" s="5">
        <v>6268</v>
      </c>
      <c r="D910" s="9" t="s">
        <v>460</v>
      </c>
      <c r="E910" s="5" t="s">
        <v>67</v>
      </c>
      <c r="F910" s="5" t="s">
        <v>29</v>
      </c>
      <c r="G910" s="5" t="s">
        <v>30</v>
      </c>
      <c r="H910" s="5">
        <v>100</v>
      </c>
      <c r="I910" s="7">
        <v>4978</v>
      </c>
      <c r="J910" s="9">
        <v>0</v>
      </c>
      <c r="K910" s="9">
        <v>0</v>
      </c>
      <c r="L910" s="9" t="s">
        <v>31</v>
      </c>
      <c r="M910" s="15">
        <f t="shared" si="20"/>
        <v>497800</v>
      </c>
      <c r="N910" s="19">
        <v>0</v>
      </c>
    </row>
    <row r="911" spans="1:14" x14ac:dyDescent="0.45">
      <c r="A911" s="4">
        <v>46139</v>
      </c>
      <c r="B911" s="4">
        <v>46142</v>
      </c>
      <c r="C911" s="5">
        <v>6324</v>
      </c>
      <c r="D911" s="9" t="s">
        <v>454</v>
      </c>
      <c r="E911" s="5" t="s">
        <v>67</v>
      </c>
      <c r="F911" s="5" t="s">
        <v>29</v>
      </c>
      <c r="G911" s="5" t="s">
        <v>30</v>
      </c>
      <c r="H911" s="5">
        <v>100</v>
      </c>
      <c r="I911" s="7">
        <v>4895</v>
      </c>
      <c r="J911" s="9">
        <v>0</v>
      </c>
      <c r="K911" s="9">
        <v>0</v>
      </c>
      <c r="L911" s="9" t="s">
        <v>31</v>
      </c>
      <c r="M911" s="15">
        <f t="shared" si="20"/>
        <v>489500</v>
      </c>
      <c r="N911" s="19">
        <v>0</v>
      </c>
    </row>
    <row r="912" spans="1:14" x14ac:dyDescent="0.45">
      <c r="A912" s="4">
        <v>46140</v>
      </c>
      <c r="B912" s="4">
        <v>46143</v>
      </c>
      <c r="C912" s="5">
        <v>6268</v>
      </c>
      <c r="D912" s="9" t="s">
        <v>460</v>
      </c>
      <c r="E912" s="5" t="s">
        <v>67</v>
      </c>
      <c r="F912" s="5" t="s">
        <v>29</v>
      </c>
      <c r="G912" s="5" t="s">
        <v>41</v>
      </c>
      <c r="H912" s="5">
        <v>100</v>
      </c>
      <c r="I912" s="7">
        <v>5002</v>
      </c>
      <c r="J912" s="9">
        <v>0</v>
      </c>
      <c r="K912" s="9">
        <v>0</v>
      </c>
      <c r="L912" s="9" t="s">
        <v>90</v>
      </c>
      <c r="M912" s="15">
        <f t="shared" si="20"/>
        <v>500200</v>
      </c>
      <c r="N912" s="19">
        <v>2400</v>
      </c>
    </row>
    <row r="913" spans="1:14" x14ac:dyDescent="0.45">
      <c r="A913" s="4">
        <v>46140</v>
      </c>
      <c r="B913" s="4">
        <v>46143</v>
      </c>
      <c r="C913" s="5">
        <v>6890</v>
      </c>
      <c r="D913" s="9" t="s">
        <v>459</v>
      </c>
      <c r="E913" s="5" t="s">
        <v>67</v>
      </c>
      <c r="F913" s="5" t="s">
        <v>29</v>
      </c>
      <c r="G913" s="5" t="s">
        <v>30</v>
      </c>
      <c r="H913" s="5">
        <v>100</v>
      </c>
      <c r="I913" s="7">
        <v>7300</v>
      </c>
      <c r="J913" s="9">
        <v>0</v>
      </c>
      <c r="K913" s="9">
        <v>0</v>
      </c>
      <c r="L913" s="9" t="s">
        <v>31</v>
      </c>
      <c r="M913" s="15">
        <f t="shared" si="20"/>
        <v>730000</v>
      </c>
      <c r="N913" s="19">
        <v>0</v>
      </c>
    </row>
    <row r="914" spans="1:14" x14ac:dyDescent="0.45">
      <c r="A914" s="4">
        <v>46140</v>
      </c>
      <c r="B914" s="4">
        <v>46143</v>
      </c>
      <c r="C914" s="5">
        <v>8031</v>
      </c>
      <c r="D914" s="9" t="s">
        <v>407</v>
      </c>
      <c r="E914" s="5" t="s">
        <v>67</v>
      </c>
      <c r="F914" s="5" t="s">
        <v>29</v>
      </c>
      <c r="G914" s="5" t="s">
        <v>30</v>
      </c>
      <c r="H914" s="5">
        <v>100</v>
      </c>
      <c r="I914" s="7">
        <v>5825</v>
      </c>
      <c r="J914" s="9">
        <v>0</v>
      </c>
      <c r="K914" s="9">
        <v>0</v>
      </c>
      <c r="L914" s="9" t="s">
        <v>31</v>
      </c>
      <c r="M914" s="15">
        <f t="shared" si="20"/>
        <v>582500</v>
      </c>
      <c r="N914" s="19">
        <v>0</v>
      </c>
    </row>
    <row r="915" spans="1:14" x14ac:dyDescent="0.45">
      <c r="A915" s="4">
        <v>46140</v>
      </c>
      <c r="B915" s="4">
        <v>46143</v>
      </c>
      <c r="C915" s="5">
        <v>8354</v>
      </c>
      <c r="D915" s="9" t="s">
        <v>461</v>
      </c>
      <c r="E915" s="5" t="s">
        <v>67</v>
      </c>
      <c r="F915" s="5" t="s">
        <v>29</v>
      </c>
      <c r="G915" s="5" t="s">
        <v>30</v>
      </c>
      <c r="H915" s="5">
        <v>100</v>
      </c>
      <c r="I915" s="7">
        <v>6409.2</v>
      </c>
      <c r="J915" s="9">
        <v>0</v>
      </c>
      <c r="K915" s="9">
        <v>0</v>
      </c>
      <c r="L915" s="9" t="s">
        <v>31</v>
      </c>
      <c r="M915" s="15">
        <f t="shared" si="20"/>
        <v>640920</v>
      </c>
      <c r="N915" s="19">
        <v>0</v>
      </c>
    </row>
    <row r="916" spans="1:14" x14ac:dyDescent="0.45">
      <c r="A916" s="4">
        <v>46142</v>
      </c>
      <c r="B916" s="4">
        <v>46149</v>
      </c>
      <c r="C916" s="5">
        <v>8354</v>
      </c>
      <c r="D916" s="9" t="s">
        <v>461</v>
      </c>
      <c r="E916" s="5" t="s">
        <v>67</v>
      </c>
      <c r="F916" s="5" t="s">
        <v>29</v>
      </c>
      <c r="G916" s="5" t="s">
        <v>41</v>
      </c>
      <c r="H916" s="5">
        <v>100</v>
      </c>
      <c r="I916" s="7">
        <v>6412</v>
      </c>
      <c r="J916" s="9">
        <v>0</v>
      </c>
      <c r="K916" s="9">
        <v>0</v>
      </c>
      <c r="L916" s="9" t="s">
        <v>90</v>
      </c>
      <c r="M916" s="15">
        <f t="shared" si="20"/>
        <v>641200</v>
      </c>
      <c r="N916" s="19">
        <v>200</v>
      </c>
    </row>
    <row r="917" spans="1:14" x14ac:dyDescent="0.45">
      <c r="A917" s="4">
        <v>46142</v>
      </c>
      <c r="B917" s="4">
        <v>46149</v>
      </c>
      <c r="C917" s="5">
        <v>1942</v>
      </c>
      <c r="D917" s="9" t="s">
        <v>455</v>
      </c>
      <c r="E917" s="5" t="s">
        <v>67</v>
      </c>
      <c r="F917" s="5" t="s">
        <v>29</v>
      </c>
      <c r="G917" s="5" t="s">
        <v>41</v>
      </c>
      <c r="H917" s="5">
        <v>100</v>
      </c>
      <c r="I917" s="7">
        <v>6627</v>
      </c>
      <c r="J917" s="9">
        <v>0</v>
      </c>
      <c r="K917" s="9">
        <v>0</v>
      </c>
      <c r="L917" s="9" t="s">
        <v>90</v>
      </c>
      <c r="M917" s="15">
        <f t="shared" si="20"/>
        <v>662700</v>
      </c>
      <c r="N917" s="19">
        <v>50200</v>
      </c>
    </row>
    <row r="918" spans="1:14" x14ac:dyDescent="0.45">
      <c r="A918" s="4">
        <v>46142</v>
      </c>
      <c r="B918" s="4">
        <v>46149</v>
      </c>
      <c r="C918" s="5">
        <v>6503</v>
      </c>
      <c r="D918" s="9" t="s">
        <v>462</v>
      </c>
      <c r="E918" s="5" t="s">
        <v>67</v>
      </c>
      <c r="F918" s="5" t="s">
        <v>29</v>
      </c>
      <c r="G918" s="5" t="s">
        <v>30</v>
      </c>
      <c r="H918" s="5">
        <v>100</v>
      </c>
      <c r="I918" s="7">
        <v>6441</v>
      </c>
      <c r="J918" s="9">
        <v>0</v>
      </c>
      <c r="K918" s="9">
        <v>0</v>
      </c>
      <c r="L918" s="9" t="s">
        <v>31</v>
      </c>
      <c r="M918" s="15">
        <f t="shared" si="20"/>
        <v>644100</v>
      </c>
      <c r="N918" s="19">
        <v>0</v>
      </c>
    </row>
    <row r="919" spans="1:14" x14ac:dyDescent="0.45">
      <c r="A919" s="4">
        <v>46142</v>
      </c>
      <c r="B919" s="4">
        <v>46149</v>
      </c>
      <c r="C919" s="5">
        <v>6890</v>
      </c>
      <c r="D919" s="9" t="s">
        <v>459</v>
      </c>
      <c r="E919" s="5" t="s">
        <v>67</v>
      </c>
      <c r="F919" s="5" t="s">
        <v>29</v>
      </c>
      <c r="G919" s="5" t="s">
        <v>41</v>
      </c>
      <c r="H919" s="5">
        <v>200</v>
      </c>
      <c r="I919" s="7">
        <v>7740</v>
      </c>
      <c r="J919" s="9">
        <v>0</v>
      </c>
      <c r="K919" s="9">
        <v>0</v>
      </c>
      <c r="L919" s="9" t="s">
        <v>90</v>
      </c>
      <c r="M919" s="15">
        <f t="shared" si="20"/>
        <v>1548000</v>
      </c>
      <c r="N919" s="19">
        <v>68400</v>
      </c>
    </row>
    <row r="920" spans="1:14" x14ac:dyDescent="0.45">
      <c r="A920" s="4">
        <v>46142</v>
      </c>
      <c r="B920" s="4">
        <v>46149</v>
      </c>
      <c r="C920" s="5">
        <v>5805</v>
      </c>
      <c r="D920" s="9" t="s">
        <v>457</v>
      </c>
      <c r="E920" s="5" t="s">
        <v>67</v>
      </c>
      <c r="F920" s="5" t="s">
        <v>29</v>
      </c>
      <c r="G920" s="5" t="s">
        <v>41</v>
      </c>
      <c r="H920" s="5">
        <v>100</v>
      </c>
      <c r="I920" s="7">
        <v>15631</v>
      </c>
      <c r="J920" s="9">
        <v>0</v>
      </c>
      <c r="K920" s="9">
        <v>0</v>
      </c>
      <c r="L920" s="9" t="s">
        <v>90</v>
      </c>
      <c r="M920" s="15">
        <f t="shared" si="20"/>
        <v>1563100</v>
      </c>
      <c r="N920" s="19">
        <v>3100</v>
      </c>
    </row>
    <row r="921" spans="1:14" x14ac:dyDescent="0.45">
      <c r="A921" s="4">
        <v>46143</v>
      </c>
      <c r="B921" s="4">
        <v>46150</v>
      </c>
      <c r="C921" s="5" t="s">
        <v>424</v>
      </c>
      <c r="D921" s="9" t="s">
        <v>425</v>
      </c>
      <c r="E921" s="5" t="s">
        <v>67</v>
      </c>
      <c r="F921" s="5" t="s">
        <v>29</v>
      </c>
      <c r="G921" s="5" t="s">
        <v>30</v>
      </c>
      <c r="H921" s="5">
        <v>100</v>
      </c>
      <c r="I921" s="7">
        <v>1328</v>
      </c>
      <c r="J921" s="9">
        <v>0</v>
      </c>
      <c r="K921" s="9">
        <v>0</v>
      </c>
      <c r="L921" s="9" t="s">
        <v>31</v>
      </c>
      <c r="M921" s="15">
        <f t="shared" si="20"/>
        <v>132800</v>
      </c>
      <c r="N921" s="19">
        <v>0</v>
      </c>
    </row>
    <row r="922" spans="1:14" x14ac:dyDescent="0.45">
      <c r="A922" s="4">
        <v>46143</v>
      </c>
      <c r="B922" s="4">
        <v>46150</v>
      </c>
      <c r="C922" s="5">
        <v>6232</v>
      </c>
      <c r="D922" s="9" t="s">
        <v>452</v>
      </c>
      <c r="E922" s="5" t="s">
        <v>67</v>
      </c>
      <c r="F922" s="5" t="s">
        <v>29</v>
      </c>
      <c r="G922" s="5" t="s">
        <v>30</v>
      </c>
      <c r="H922" s="5">
        <v>100</v>
      </c>
      <c r="I922" s="7">
        <v>2585</v>
      </c>
      <c r="J922" s="9">
        <v>0</v>
      </c>
      <c r="K922" s="9">
        <v>0</v>
      </c>
      <c r="L922" s="9" t="s">
        <v>31</v>
      </c>
      <c r="M922" s="15">
        <f t="shared" si="20"/>
        <v>258500</v>
      </c>
      <c r="N922" s="19">
        <v>0</v>
      </c>
    </row>
    <row r="923" spans="1:14" x14ac:dyDescent="0.45">
      <c r="A923" s="4">
        <v>46143</v>
      </c>
      <c r="B923" s="4">
        <v>46150</v>
      </c>
      <c r="C923" s="5">
        <v>6324</v>
      </c>
      <c r="D923" s="9" t="s">
        <v>454</v>
      </c>
      <c r="E923" s="5" t="s">
        <v>67</v>
      </c>
      <c r="F923" s="5" t="s">
        <v>29</v>
      </c>
      <c r="G923" s="5" t="s">
        <v>41</v>
      </c>
      <c r="H923" s="5">
        <v>100</v>
      </c>
      <c r="I923" s="7">
        <v>5240</v>
      </c>
      <c r="J923" s="9">
        <v>0</v>
      </c>
      <c r="K923" s="9">
        <v>0</v>
      </c>
      <c r="L923" s="9" t="s">
        <v>90</v>
      </c>
      <c r="M923" s="15">
        <f t="shared" si="20"/>
        <v>524000</v>
      </c>
      <c r="N923" s="19">
        <v>34500</v>
      </c>
    </row>
    <row r="924" spans="1:14" x14ac:dyDescent="0.45">
      <c r="A924" s="4">
        <v>46149</v>
      </c>
      <c r="B924" s="4">
        <v>46153</v>
      </c>
      <c r="C924" s="5">
        <v>5803</v>
      </c>
      <c r="D924" s="9" t="s">
        <v>400</v>
      </c>
      <c r="E924" s="5" t="s">
        <v>67</v>
      </c>
      <c r="F924" s="5" t="s">
        <v>29</v>
      </c>
      <c r="G924" s="5" t="s">
        <v>41</v>
      </c>
      <c r="H924" s="5">
        <v>200</v>
      </c>
      <c r="I924" s="7">
        <v>6325</v>
      </c>
      <c r="J924" s="9">
        <v>0</v>
      </c>
      <c r="K924" s="9">
        <v>0</v>
      </c>
      <c r="L924" s="9" t="s">
        <v>90</v>
      </c>
      <c r="M924" s="15">
        <f t="shared" si="20"/>
        <v>1265000</v>
      </c>
      <c r="N924" s="19">
        <v>24000</v>
      </c>
    </row>
    <row r="925" spans="1:14" x14ac:dyDescent="0.45">
      <c r="A925" s="4">
        <v>46149</v>
      </c>
      <c r="B925" s="4">
        <v>46153</v>
      </c>
      <c r="C925" s="5">
        <v>6503</v>
      </c>
      <c r="D925" s="9" t="s">
        <v>462</v>
      </c>
      <c r="E925" s="5" t="s">
        <v>67</v>
      </c>
      <c r="F925" s="5" t="s">
        <v>29</v>
      </c>
      <c r="G925" s="5" t="s">
        <v>41</v>
      </c>
      <c r="H925" s="5">
        <v>100</v>
      </c>
      <c r="I925" s="7">
        <v>6480.3</v>
      </c>
      <c r="J925" s="9">
        <v>0</v>
      </c>
      <c r="K925" s="9">
        <v>0</v>
      </c>
      <c r="L925" s="9" t="s">
        <v>90</v>
      </c>
      <c r="M925" s="15">
        <f t="shared" si="20"/>
        <v>648030</v>
      </c>
      <c r="N925" s="19">
        <v>3930</v>
      </c>
    </row>
    <row r="926" spans="1:14" x14ac:dyDescent="0.45">
      <c r="A926" s="4">
        <v>46149</v>
      </c>
      <c r="B926" s="4">
        <v>46153</v>
      </c>
      <c r="C926" s="5">
        <v>6857</v>
      </c>
      <c r="D926" s="9" t="s">
        <v>458</v>
      </c>
      <c r="E926" s="5" t="s">
        <v>67</v>
      </c>
      <c r="F926" s="5" t="s">
        <v>29</v>
      </c>
      <c r="G926" s="5" t="s">
        <v>41</v>
      </c>
      <c r="H926" s="5">
        <v>100</v>
      </c>
      <c r="I926" s="7">
        <v>30000</v>
      </c>
      <c r="J926" s="9">
        <v>0</v>
      </c>
      <c r="K926" s="9">
        <v>0</v>
      </c>
      <c r="L926" s="9" t="s">
        <v>90</v>
      </c>
      <c r="M926" s="15">
        <f t="shared" si="20"/>
        <v>3000000</v>
      </c>
      <c r="N926" s="19">
        <v>76400</v>
      </c>
    </row>
    <row r="927" spans="1:14" x14ac:dyDescent="0.45">
      <c r="A927" s="4">
        <v>46149</v>
      </c>
      <c r="B927" s="4">
        <v>46153</v>
      </c>
      <c r="C927" s="5">
        <v>6954</v>
      </c>
      <c r="D927" s="9" t="s">
        <v>431</v>
      </c>
      <c r="E927" s="5" t="s">
        <v>67</v>
      </c>
      <c r="F927" s="5" t="s">
        <v>29</v>
      </c>
      <c r="G927" s="5" t="s">
        <v>41</v>
      </c>
      <c r="H927" s="5">
        <v>100</v>
      </c>
      <c r="I927" s="7">
        <v>7133</v>
      </c>
      <c r="J927" s="9">
        <v>0</v>
      </c>
      <c r="K927" s="9">
        <v>0</v>
      </c>
      <c r="L927" s="9" t="s">
        <v>90</v>
      </c>
      <c r="M927" s="15">
        <f t="shared" si="20"/>
        <v>713300</v>
      </c>
      <c r="N927" s="19">
        <v>59900</v>
      </c>
    </row>
    <row r="928" spans="1:14" x14ac:dyDescent="0.45">
      <c r="A928" s="4">
        <v>46149</v>
      </c>
      <c r="B928" s="4">
        <v>46153</v>
      </c>
      <c r="C928" s="5">
        <v>6965</v>
      </c>
      <c r="D928" s="9" t="s">
        <v>411</v>
      </c>
      <c r="E928" s="5" t="s">
        <v>67</v>
      </c>
      <c r="F928" s="5" t="s">
        <v>29</v>
      </c>
      <c r="G928" s="5" t="s">
        <v>41</v>
      </c>
      <c r="H928" s="5">
        <v>100</v>
      </c>
      <c r="I928" s="7">
        <v>2113</v>
      </c>
      <c r="J928" s="9">
        <v>0</v>
      </c>
      <c r="K928" s="9">
        <v>0</v>
      </c>
      <c r="L928" s="9" t="s">
        <v>90</v>
      </c>
      <c r="M928" s="15">
        <f t="shared" si="20"/>
        <v>211300</v>
      </c>
      <c r="N928" s="19">
        <v>300</v>
      </c>
    </row>
    <row r="929" spans="1:14" x14ac:dyDescent="0.45">
      <c r="A929" s="4">
        <v>46149</v>
      </c>
      <c r="B929" s="4">
        <v>46153</v>
      </c>
      <c r="C929" s="5">
        <v>8316</v>
      </c>
      <c r="D929" s="9" t="s">
        <v>401</v>
      </c>
      <c r="E929" s="5" t="s">
        <v>67</v>
      </c>
      <c r="F929" s="5" t="s">
        <v>29</v>
      </c>
      <c r="G929" s="5" t="s">
        <v>41</v>
      </c>
      <c r="H929" s="5">
        <v>100</v>
      </c>
      <c r="I929" s="7">
        <v>5654</v>
      </c>
      <c r="J929" s="9">
        <v>0</v>
      </c>
      <c r="K929" s="9">
        <v>0</v>
      </c>
      <c r="L929" s="9" t="s">
        <v>90</v>
      </c>
      <c r="M929" s="15">
        <f t="shared" si="20"/>
        <v>565400</v>
      </c>
      <c r="N929" s="19">
        <v>100</v>
      </c>
    </row>
    <row r="930" spans="1:14" x14ac:dyDescent="0.45">
      <c r="A930" s="4">
        <v>46149</v>
      </c>
      <c r="B930" s="4">
        <v>46153</v>
      </c>
      <c r="C930" s="5">
        <v>8766</v>
      </c>
      <c r="D930" s="9" t="s">
        <v>44</v>
      </c>
      <c r="E930" s="5" t="s">
        <v>67</v>
      </c>
      <c r="F930" s="5" t="s">
        <v>29</v>
      </c>
      <c r="G930" s="5" t="s">
        <v>41</v>
      </c>
      <c r="H930" s="5">
        <v>100</v>
      </c>
      <c r="I930" s="7">
        <v>7248</v>
      </c>
      <c r="J930" s="9">
        <v>0</v>
      </c>
      <c r="K930" s="9">
        <v>0</v>
      </c>
      <c r="L930" s="9" t="s">
        <v>90</v>
      </c>
      <c r="M930" s="15">
        <f t="shared" si="20"/>
        <v>724800</v>
      </c>
      <c r="N930" s="19">
        <v>0</v>
      </c>
    </row>
    <row r="931" spans="1:14" x14ac:dyDescent="0.45">
      <c r="A931" s="4">
        <v>46150</v>
      </c>
      <c r="B931" s="4">
        <v>46154</v>
      </c>
      <c r="C931" s="5">
        <v>6098</v>
      </c>
      <c r="D931" s="9" t="s">
        <v>456</v>
      </c>
      <c r="E931" s="5" t="s">
        <v>67</v>
      </c>
      <c r="F931" s="5" t="s">
        <v>29</v>
      </c>
      <c r="G931" s="5" t="s">
        <v>41</v>
      </c>
      <c r="H931" s="5">
        <v>100</v>
      </c>
      <c r="I931" s="7">
        <v>7832</v>
      </c>
      <c r="J931" s="9">
        <v>0</v>
      </c>
      <c r="K931" s="9">
        <v>0</v>
      </c>
      <c r="L931" s="9" t="s">
        <v>90</v>
      </c>
      <c r="M931" s="15">
        <f t="shared" si="20"/>
        <v>783200</v>
      </c>
      <c r="N931" s="19">
        <v>1000</v>
      </c>
    </row>
    <row r="932" spans="1:14" x14ac:dyDescent="0.45">
      <c r="A932" s="4">
        <v>46154</v>
      </c>
      <c r="B932" s="4">
        <v>46156</v>
      </c>
      <c r="C932" s="5" t="s">
        <v>424</v>
      </c>
      <c r="D932" s="9" t="s">
        <v>425</v>
      </c>
      <c r="E932" s="5" t="s">
        <v>67</v>
      </c>
      <c r="F932" s="5" t="s">
        <v>29</v>
      </c>
      <c r="G932" s="5" t="s">
        <v>41</v>
      </c>
      <c r="H932" s="5">
        <v>200</v>
      </c>
      <c r="I932" s="7">
        <v>1749</v>
      </c>
      <c r="J932" s="9">
        <v>0</v>
      </c>
      <c r="K932" s="9">
        <v>0</v>
      </c>
      <c r="L932" s="9" t="s">
        <v>90</v>
      </c>
      <c r="M932" s="15">
        <f t="shared" si="20"/>
        <v>349800</v>
      </c>
      <c r="N932" s="19">
        <v>68700</v>
      </c>
    </row>
    <row r="933" spans="1:14" x14ac:dyDescent="0.45">
      <c r="A933" s="4">
        <v>46154</v>
      </c>
      <c r="B933" s="4">
        <v>46156</v>
      </c>
      <c r="C933" s="5">
        <v>6232</v>
      </c>
      <c r="D933" s="9" t="s">
        <v>452</v>
      </c>
      <c r="E933" s="5" t="s">
        <v>67</v>
      </c>
      <c r="F933" s="5" t="s">
        <v>29</v>
      </c>
      <c r="G933" s="5" t="s">
        <v>41</v>
      </c>
      <c r="H933" s="5">
        <v>100</v>
      </c>
      <c r="I933" s="7">
        <v>3250</v>
      </c>
      <c r="J933" s="9">
        <v>0</v>
      </c>
      <c r="K933" s="9">
        <v>0</v>
      </c>
      <c r="L933" s="9" t="s">
        <v>90</v>
      </c>
      <c r="M933" s="15">
        <f t="shared" si="20"/>
        <v>325000</v>
      </c>
      <c r="N933" s="19">
        <v>66500</v>
      </c>
    </row>
    <row r="934" spans="1:14" x14ac:dyDescent="0.45">
      <c r="A934" s="4">
        <v>46156</v>
      </c>
      <c r="B934" s="4">
        <v>46160</v>
      </c>
      <c r="C934" s="5">
        <v>5803</v>
      </c>
      <c r="D934" s="9" t="s">
        <v>400</v>
      </c>
      <c r="E934" s="5" t="s">
        <v>67</v>
      </c>
      <c r="F934" s="5" t="s">
        <v>29</v>
      </c>
      <c r="G934" s="5" t="s">
        <v>30</v>
      </c>
      <c r="H934" s="5">
        <v>100</v>
      </c>
      <c r="I934" s="7">
        <v>7855</v>
      </c>
      <c r="J934" s="9">
        <v>0</v>
      </c>
      <c r="K934" s="9">
        <v>0</v>
      </c>
      <c r="L934" s="9" t="s">
        <v>463</v>
      </c>
      <c r="M934" s="15">
        <f t="shared" si="20"/>
        <v>785500</v>
      </c>
      <c r="N934" s="19">
        <v>0</v>
      </c>
    </row>
    <row r="935" spans="1:14" x14ac:dyDescent="0.45">
      <c r="A935" s="4">
        <v>46156</v>
      </c>
      <c r="B935" s="4">
        <v>46160</v>
      </c>
      <c r="C935" s="5">
        <v>6324</v>
      </c>
      <c r="D935" s="9" t="s">
        <v>454</v>
      </c>
      <c r="E935" s="5" t="s">
        <v>67</v>
      </c>
      <c r="F935" s="5" t="s">
        <v>29</v>
      </c>
      <c r="G935" s="5" t="s">
        <v>30</v>
      </c>
      <c r="H935" s="5">
        <v>100</v>
      </c>
      <c r="I935" s="7">
        <v>6770</v>
      </c>
      <c r="J935" s="9">
        <v>0</v>
      </c>
      <c r="K935" s="9">
        <v>0</v>
      </c>
      <c r="L935" s="9" t="s">
        <v>463</v>
      </c>
      <c r="M935" s="15">
        <f t="shared" si="20"/>
        <v>677000</v>
      </c>
      <c r="N935" s="19">
        <v>0</v>
      </c>
    </row>
    <row r="936" spans="1:14" x14ac:dyDescent="0.45">
      <c r="A936" s="4">
        <v>46157</v>
      </c>
      <c r="B936" s="4">
        <v>46161</v>
      </c>
      <c r="C936" s="5">
        <v>6324</v>
      </c>
      <c r="D936" s="9" t="s">
        <v>454</v>
      </c>
      <c r="E936" s="5" t="s">
        <v>67</v>
      </c>
      <c r="F936" s="5" t="s">
        <v>29</v>
      </c>
      <c r="G936" s="5" t="s">
        <v>30</v>
      </c>
      <c r="H936" s="5">
        <v>100</v>
      </c>
      <c r="I936" s="7">
        <v>6950</v>
      </c>
      <c r="J936" s="9">
        <v>0</v>
      </c>
      <c r="K936" s="9">
        <v>0</v>
      </c>
      <c r="L936" s="9" t="s">
        <v>90</v>
      </c>
      <c r="M936" s="15">
        <f t="shared" si="20"/>
        <v>695000</v>
      </c>
      <c r="N936" s="19">
        <v>18000</v>
      </c>
    </row>
    <row r="937" spans="1:14" x14ac:dyDescent="0.45">
      <c r="A937" s="4">
        <v>46164</v>
      </c>
      <c r="B937" s="4">
        <v>46168</v>
      </c>
      <c r="C937" s="5" t="s">
        <v>424</v>
      </c>
      <c r="D937" s="9" t="s">
        <v>425</v>
      </c>
      <c r="E937" s="5" t="s">
        <v>67</v>
      </c>
      <c r="F937" s="5" t="s">
        <v>29</v>
      </c>
      <c r="G937" s="5" t="s">
        <v>30</v>
      </c>
      <c r="H937" s="5">
        <v>100</v>
      </c>
      <c r="I937" s="7">
        <v>2352</v>
      </c>
      <c r="J937" s="9">
        <v>0</v>
      </c>
      <c r="K937" s="9">
        <v>0</v>
      </c>
      <c r="L937" s="9" t="s">
        <v>31</v>
      </c>
      <c r="M937" s="15">
        <f t="shared" si="20"/>
        <v>235200</v>
      </c>
      <c r="N937" s="19">
        <v>0</v>
      </c>
    </row>
    <row r="938" spans="1:14" x14ac:dyDescent="0.45">
      <c r="A938" s="4">
        <v>46164</v>
      </c>
      <c r="B938" s="4">
        <v>46168</v>
      </c>
      <c r="C938" s="5">
        <v>2802</v>
      </c>
      <c r="D938" s="9" t="s">
        <v>399</v>
      </c>
      <c r="E938" s="5" t="s">
        <v>67</v>
      </c>
      <c r="F938" s="5" t="s">
        <v>29</v>
      </c>
      <c r="G938" s="5" t="s">
        <v>30</v>
      </c>
      <c r="H938" s="5">
        <v>100</v>
      </c>
      <c r="I938" s="7">
        <v>5269</v>
      </c>
      <c r="J938" s="9">
        <v>0</v>
      </c>
      <c r="K938" s="9">
        <v>0</v>
      </c>
      <c r="L938" s="9" t="s">
        <v>31</v>
      </c>
      <c r="M938" s="15">
        <f t="shared" ref="M938:M963" si="21">IF(G938="買付",H938*I938+SUM(J938:K938),H938*I938-SUM(J938:K938))</f>
        <v>526900</v>
      </c>
      <c r="N938" s="19">
        <v>0</v>
      </c>
    </row>
    <row r="939" spans="1:14" x14ac:dyDescent="0.45">
      <c r="A939" s="4">
        <v>46164</v>
      </c>
      <c r="B939" s="4">
        <v>46168</v>
      </c>
      <c r="C939" s="5" t="s">
        <v>446</v>
      </c>
      <c r="D939" s="9" t="s">
        <v>447</v>
      </c>
      <c r="E939" s="5" t="s">
        <v>67</v>
      </c>
      <c r="F939" s="5" t="s">
        <v>29</v>
      </c>
      <c r="G939" s="5" t="s">
        <v>30</v>
      </c>
      <c r="H939" s="5">
        <v>100</v>
      </c>
      <c r="I939" s="7">
        <v>57120</v>
      </c>
      <c r="J939" s="9">
        <v>0</v>
      </c>
      <c r="K939" s="9">
        <v>0</v>
      </c>
      <c r="L939" s="9" t="s">
        <v>31</v>
      </c>
      <c r="M939" s="15">
        <f t="shared" si="21"/>
        <v>5712000</v>
      </c>
      <c r="N939" s="19">
        <v>0</v>
      </c>
    </row>
    <row r="940" spans="1:14" x14ac:dyDescent="0.45">
      <c r="A940" s="4">
        <v>46164</v>
      </c>
      <c r="B940" s="4">
        <v>46168</v>
      </c>
      <c r="C940" s="5">
        <v>3563</v>
      </c>
      <c r="D940" s="9" t="s">
        <v>370</v>
      </c>
      <c r="E940" s="5" t="s">
        <v>67</v>
      </c>
      <c r="F940" s="5" t="s">
        <v>29</v>
      </c>
      <c r="G940" s="5" t="s">
        <v>30</v>
      </c>
      <c r="H940" s="5">
        <v>100</v>
      </c>
      <c r="I940" s="7">
        <v>10850</v>
      </c>
      <c r="J940" s="9">
        <v>0</v>
      </c>
      <c r="K940" s="9">
        <v>0</v>
      </c>
      <c r="L940" s="9" t="s">
        <v>31</v>
      </c>
      <c r="M940" s="15">
        <f t="shared" si="21"/>
        <v>1085000</v>
      </c>
      <c r="N940" s="19">
        <v>0</v>
      </c>
    </row>
    <row r="941" spans="1:14" x14ac:dyDescent="0.45">
      <c r="A941" s="4">
        <v>46164</v>
      </c>
      <c r="B941" s="4">
        <v>46168</v>
      </c>
      <c r="C941" s="5">
        <v>4063</v>
      </c>
      <c r="D941" s="9" t="s">
        <v>100</v>
      </c>
      <c r="E941" s="5" t="s">
        <v>67</v>
      </c>
      <c r="F941" s="5" t="s">
        <v>29</v>
      </c>
      <c r="G941" s="5" t="s">
        <v>30</v>
      </c>
      <c r="H941" s="5">
        <v>100</v>
      </c>
      <c r="I941" s="7">
        <v>7010</v>
      </c>
      <c r="J941" s="9">
        <v>0</v>
      </c>
      <c r="K941" s="9">
        <v>0</v>
      </c>
      <c r="L941" s="9" t="s">
        <v>31</v>
      </c>
      <c r="M941" s="15">
        <f t="shared" si="21"/>
        <v>701000</v>
      </c>
      <c r="N941" s="19">
        <v>0</v>
      </c>
    </row>
    <row r="942" spans="1:14" x14ac:dyDescent="0.45">
      <c r="A942" s="4">
        <v>46164</v>
      </c>
      <c r="B942" s="4">
        <v>46168</v>
      </c>
      <c r="C942" s="5">
        <v>6098</v>
      </c>
      <c r="D942" s="9" t="s">
        <v>456</v>
      </c>
      <c r="E942" s="5" t="s">
        <v>67</v>
      </c>
      <c r="F942" s="5" t="s">
        <v>29</v>
      </c>
      <c r="G942" s="5" t="s">
        <v>30</v>
      </c>
      <c r="H942" s="5">
        <v>100</v>
      </c>
      <c r="I942" s="7">
        <v>9765</v>
      </c>
      <c r="J942" s="9">
        <v>0</v>
      </c>
      <c r="K942" s="9">
        <v>0</v>
      </c>
      <c r="L942" s="9" t="s">
        <v>31</v>
      </c>
      <c r="M942" s="15">
        <f t="shared" si="21"/>
        <v>976500</v>
      </c>
      <c r="N942" s="19">
        <v>0</v>
      </c>
    </row>
    <row r="943" spans="1:14" x14ac:dyDescent="0.45">
      <c r="A943" s="4">
        <v>46164</v>
      </c>
      <c r="B943" s="4">
        <v>46168</v>
      </c>
      <c r="C943" s="5">
        <v>6857</v>
      </c>
      <c r="D943" s="9" t="s">
        <v>458</v>
      </c>
      <c r="E943" s="5" t="s">
        <v>67</v>
      </c>
      <c r="F943" s="5" t="s">
        <v>29</v>
      </c>
      <c r="G943" s="5" t="s">
        <v>30</v>
      </c>
      <c r="H943" s="5">
        <v>100</v>
      </c>
      <c r="I943" s="7">
        <v>26985</v>
      </c>
      <c r="J943" s="9">
        <v>0</v>
      </c>
      <c r="K943" s="9">
        <v>0</v>
      </c>
      <c r="L943" s="9" t="s">
        <v>31</v>
      </c>
      <c r="M943" s="15">
        <f t="shared" si="21"/>
        <v>2698500</v>
      </c>
      <c r="N943" s="19">
        <v>0</v>
      </c>
    </row>
    <row r="944" spans="1:14" x14ac:dyDescent="0.45">
      <c r="A944" s="4">
        <v>46167</v>
      </c>
      <c r="B944" s="4">
        <v>46169</v>
      </c>
      <c r="C944" s="5" t="s">
        <v>424</v>
      </c>
      <c r="D944" s="9" t="s">
        <v>425</v>
      </c>
      <c r="E944" s="5" t="s">
        <v>67</v>
      </c>
      <c r="F944" s="5" t="s">
        <v>29</v>
      </c>
      <c r="G944" s="5" t="s">
        <v>41</v>
      </c>
      <c r="H944" s="5">
        <v>100</v>
      </c>
      <c r="I944" s="7">
        <v>2792</v>
      </c>
      <c r="J944" s="9">
        <v>0</v>
      </c>
      <c r="K944" s="9">
        <v>0</v>
      </c>
      <c r="L944" s="9" t="s">
        <v>90</v>
      </c>
      <c r="M944" s="15">
        <f t="shared" si="21"/>
        <v>279200</v>
      </c>
      <c r="N944" s="19">
        <v>44000</v>
      </c>
    </row>
    <row r="945" spans="1:14" x14ac:dyDescent="0.45">
      <c r="A945" s="4">
        <v>46167</v>
      </c>
      <c r="B945" s="4">
        <v>46169</v>
      </c>
      <c r="C945" s="5">
        <v>6367</v>
      </c>
      <c r="D945" s="9" t="s">
        <v>464</v>
      </c>
      <c r="E945" s="5" t="s">
        <v>67</v>
      </c>
      <c r="F945" s="5" t="s">
        <v>29</v>
      </c>
      <c r="G945" s="5" t="s">
        <v>30</v>
      </c>
      <c r="H945" s="5">
        <v>100</v>
      </c>
      <c r="I945" s="7">
        <v>24400</v>
      </c>
      <c r="J945" s="9">
        <v>0</v>
      </c>
      <c r="K945" s="9">
        <v>0</v>
      </c>
      <c r="L945" s="9" t="s">
        <v>31</v>
      </c>
      <c r="M945" s="15">
        <f t="shared" si="21"/>
        <v>2440000</v>
      </c>
      <c r="N945" s="19">
        <v>0</v>
      </c>
    </row>
    <row r="946" spans="1:14" x14ac:dyDescent="0.45">
      <c r="A946" s="4">
        <v>46174</v>
      </c>
      <c r="B946" s="4">
        <v>46176</v>
      </c>
      <c r="C946" s="5">
        <v>2802</v>
      </c>
      <c r="D946" s="9" t="s">
        <v>399</v>
      </c>
      <c r="E946" s="5" t="s">
        <v>67</v>
      </c>
      <c r="F946" s="5" t="s">
        <v>29</v>
      </c>
      <c r="G946" s="5" t="s">
        <v>41</v>
      </c>
      <c r="H946" s="5">
        <v>100</v>
      </c>
      <c r="I946" s="7">
        <v>5377</v>
      </c>
      <c r="J946" s="9">
        <v>0</v>
      </c>
      <c r="K946" s="9">
        <v>0</v>
      </c>
      <c r="L946" s="9" t="s">
        <v>90</v>
      </c>
      <c r="M946" s="15">
        <f t="shared" si="21"/>
        <v>537700</v>
      </c>
      <c r="N946" s="19">
        <v>10800</v>
      </c>
    </row>
    <row r="947" spans="1:14" x14ac:dyDescent="0.45">
      <c r="A947" s="4">
        <v>46174</v>
      </c>
      <c r="B947" s="4">
        <v>46176</v>
      </c>
      <c r="C947" s="5" t="s">
        <v>446</v>
      </c>
      <c r="D947" s="9" t="s">
        <v>447</v>
      </c>
      <c r="E947" s="5" t="s">
        <v>67</v>
      </c>
      <c r="F947" s="5" t="s">
        <v>29</v>
      </c>
      <c r="G947" s="5" t="s">
        <v>41</v>
      </c>
      <c r="H947" s="5">
        <v>100</v>
      </c>
      <c r="I947" s="7">
        <v>70910</v>
      </c>
      <c r="J947" s="9">
        <v>0</v>
      </c>
      <c r="K947" s="9">
        <v>0</v>
      </c>
      <c r="L947" s="9" t="s">
        <v>90</v>
      </c>
      <c r="M947" s="15">
        <f t="shared" si="21"/>
        <v>7091000</v>
      </c>
      <c r="N947" s="19">
        <v>1379000</v>
      </c>
    </row>
    <row r="948" spans="1:14" x14ac:dyDescent="0.45">
      <c r="A948" s="4">
        <v>46174</v>
      </c>
      <c r="B948" s="4">
        <v>46176</v>
      </c>
      <c r="C948" s="5">
        <v>4063</v>
      </c>
      <c r="D948" s="9" t="s">
        <v>100</v>
      </c>
      <c r="E948" s="5" t="s">
        <v>67</v>
      </c>
      <c r="F948" s="5" t="s">
        <v>29</v>
      </c>
      <c r="G948" s="5" t="s">
        <v>41</v>
      </c>
      <c r="H948" s="5">
        <v>100</v>
      </c>
      <c r="I948" s="7">
        <v>7694</v>
      </c>
      <c r="J948" s="9">
        <v>0</v>
      </c>
      <c r="K948" s="9">
        <v>0</v>
      </c>
      <c r="L948" s="9" t="s">
        <v>90</v>
      </c>
      <c r="M948" s="15">
        <f t="shared" si="21"/>
        <v>769400</v>
      </c>
      <c r="N948" s="19">
        <v>68400</v>
      </c>
    </row>
    <row r="949" spans="1:14" x14ac:dyDescent="0.45">
      <c r="A949" s="4">
        <v>46174</v>
      </c>
      <c r="B949" s="4">
        <v>46176</v>
      </c>
      <c r="C949" s="5">
        <v>6098</v>
      </c>
      <c r="D949" s="9" t="s">
        <v>456</v>
      </c>
      <c r="E949" s="5" t="s">
        <v>67</v>
      </c>
      <c r="F949" s="5" t="s">
        <v>29</v>
      </c>
      <c r="G949" s="5" t="s">
        <v>41</v>
      </c>
      <c r="H949" s="5">
        <v>100</v>
      </c>
      <c r="I949" s="7">
        <v>11205</v>
      </c>
      <c r="J949" s="9">
        <v>0</v>
      </c>
      <c r="K949" s="9">
        <v>0</v>
      </c>
      <c r="L949" s="9" t="s">
        <v>90</v>
      </c>
      <c r="M949" s="15">
        <f t="shared" si="21"/>
        <v>1120500</v>
      </c>
      <c r="N949" s="19">
        <v>144000</v>
      </c>
    </row>
    <row r="950" spans="1:14" x14ac:dyDescent="0.45">
      <c r="A950" s="4">
        <v>46174</v>
      </c>
      <c r="B950" s="4">
        <v>46176</v>
      </c>
      <c r="C950" s="5">
        <v>8031</v>
      </c>
      <c r="D950" s="9" t="s">
        <v>407</v>
      </c>
      <c r="E950" s="5" t="s">
        <v>67</v>
      </c>
      <c r="F950" s="5" t="s">
        <v>29</v>
      </c>
      <c r="G950" s="5" t="s">
        <v>41</v>
      </c>
      <c r="H950" s="5">
        <v>100</v>
      </c>
      <c r="I950" s="7">
        <v>4997</v>
      </c>
      <c r="J950" s="9">
        <v>0</v>
      </c>
      <c r="K950" s="9">
        <v>0</v>
      </c>
      <c r="L950" s="9" t="s">
        <v>90</v>
      </c>
      <c r="M950" s="15">
        <f t="shared" si="21"/>
        <v>499700</v>
      </c>
      <c r="N950" s="19">
        <v>-82800</v>
      </c>
    </row>
    <row r="951" spans="1:14" x14ac:dyDescent="0.45">
      <c r="A951" s="4">
        <v>46176</v>
      </c>
      <c r="B951" s="4">
        <v>46178</v>
      </c>
      <c r="C951" s="5">
        <v>6857</v>
      </c>
      <c r="D951" s="9" t="s">
        <v>458</v>
      </c>
      <c r="E951" s="5" t="s">
        <v>67</v>
      </c>
      <c r="F951" s="5" t="s">
        <v>29</v>
      </c>
      <c r="G951" s="5" t="s">
        <v>41</v>
      </c>
      <c r="H951" s="5">
        <v>100</v>
      </c>
      <c r="I951" s="7">
        <v>27285</v>
      </c>
      <c r="J951" s="9">
        <v>0</v>
      </c>
      <c r="K951" s="9">
        <v>0</v>
      </c>
      <c r="L951" s="9" t="s">
        <v>90</v>
      </c>
      <c r="M951" s="15">
        <f t="shared" si="21"/>
        <v>2728500</v>
      </c>
      <c r="N951" s="19">
        <v>30000</v>
      </c>
    </row>
    <row r="952" spans="1:14" x14ac:dyDescent="0.45">
      <c r="A952" s="4">
        <v>46176</v>
      </c>
      <c r="B952" s="4">
        <v>46178</v>
      </c>
      <c r="C952" s="5" t="s">
        <v>446</v>
      </c>
      <c r="D952" s="9" t="s">
        <v>447</v>
      </c>
      <c r="E952" s="5" t="s">
        <v>67</v>
      </c>
      <c r="F952" s="5" t="s">
        <v>29</v>
      </c>
      <c r="G952" s="5" t="s">
        <v>30</v>
      </c>
      <c r="H952" s="5">
        <v>100</v>
      </c>
      <c r="I952" s="7">
        <v>79292</v>
      </c>
      <c r="J952" s="9">
        <v>0</v>
      </c>
      <c r="K952" s="9">
        <v>0</v>
      </c>
      <c r="L952" s="9" t="s">
        <v>31</v>
      </c>
      <c r="M952" s="15">
        <f t="shared" si="21"/>
        <v>7929200</v>
      </c>
      <c r="N952" s="19">
        <v>0</v>
      </c>
    </row>
    <row r="953" spans="1:14" x14ac:dyDescent="0.45">
      <c r="A953" s="4">
        <v>46176</v>
      </c>
      <c r="B953" s="4">
        <v>46178</v>
      </c>
      <c r="C953" s="5" t="s">
        <v>446</v>
      </c>
      <c r="D953" s="9" t="s">
        <v>447</v>
      </c>
      <c r="E953" s="5" t="s">
        <v>67</v>
      </c>
      <c r="F953" s="5" t="s">
        <v>29</v>
      </c>
      <c r="G953" s="5" t="s">
        <v>41</v>
      </c>
      <c r="H953" s="5">
        <v>100</v>
      </c>
      <c r="I953" s="7">
        <v>79300</v>
      </c>
      <c r="J953" s="9">
        <v>0</v>
      </c>
      <c r="K953" s="9">
        <v>0</v>
      </c>
      <c r="L953" s="9" t="s">
        <v>90</v>
      </c>
      <c r="M953" s="15">
        <f t="shared" si="21"/>
        <v>7930000</v>
      </c>
      <c r="N953" s="19">
        <v>800</v>
      </c>
    </row>
    <row r="954" spans="1:14" x14ac:dyDescent="0.45">
      <c r="A954" s="4">
        <v>46178</v>
      </c>
      <c r="B954" s="4">
        <v>46182</v>
      </c>
      <c r="C954" s="5">
        <v>1343</v>
      </c>
      <c r="D954" s="9" t="s">
        <v>466</v>
      </c>
      <c r="E954" s="5" t="s">
        <v>67</v>
      </c>
      <c r="F954" s="5" t="s">
        <v>29</v>
      </c>
      <c r="G954" s="5" t="s">
        <v>41</v>
      </c>
      <c r="H954" s="5">
        <v>50</v>
      </c>
      <c r="I954" s="7">
        <v>1886</v>
      </c>
      <c r="J954" s="9">
        <v>0</v>
      </c>
      <c r="K954" s="9">
        <v>0</v>
      </c>
      <c r="L954" s="9" t="s">
        <v>90</v>
      </c>
      <c r="M954" s="15">
        <f t="shared" si="21"/>
        <v>94300</v>
      </c>
      <c r="N954" s="19">
        <v>-12750</v>
      </c>
    </row>
    <row r="955" spans="1:14" x14ac:dyDescent="0.45">
      <c r="A955" s="4">
        <v>46178</v>
      </c>
      <c r="B955" s="4">
        <v>46182</v>
      </c>
      <c r="C955" s="5">
        <v>1488</v>
      </c>
      <c r="D955" s="9" t="s">
        <v>419</v>
      </c>
      <c r="E955" s="5" t="s">
        <v>67</v>
      </c>
      <c r="F955" s="5" t="s">
        <v>29</v>
      </c>
      <c r="G955" s="5" t="s">
        <v>41</v>
      </c>
      <c r="H955" s="5">
        <v>22</v>
      </c>
      <c r="I955" s="7">
        <v>1805</v>
      </c>
      <c r="J955" s="9">
        <v>0</v>
      </c>
      <c r="K955" s="9">
        <v>0</v>
      </c>
      <c r="L955" s="9" t="s">
        <v>90</v>
      </c>
      <c r="M955" s="15">
        <f t="shared" si="21"/>
        <v>39710</v>
      </c>
      <c r="N955" s="19">
        <v>-6358</v>
      </c>
    </row>
    <row r="956" spans="1:14" x14ac:dyDescent="0.45">
      <c r="A956" s="4">
        <v>46178</v>
      </c>
      <c r="B956" s="4">
        <v>46182</v>
      </c>
      <c r="C956" s="5">
        <v>1488</v>
      </c>
      <c r="D956" s="9" t="s">
        <v>419</v>
      </c>
      <c r="E956" s="5" t="s">
        <v>67</v>
      </c>
      <c r="F956" s="5" t="s">
        <v>29</v>
      </c>
      <c r="G956" s="5" t="s">
        <v>41</v>
      </c>
      <c r="H956" s="5">
        <v>5</v>
      </c>
      <c r="I956" s="7">
        <v>1804</v>
      </c>
      <c r="J956" s="9">
        <v>0</v>
      </c>
      <c r="K956" s="9">
        <v>0</v>
      </c>
      <c r="L956" s="9" t="s">
        <v>90</v>
      </c>
      <c r="M956" s="15">
        <f t="shared" si="21"/>
        <v>9020</v>
      </c>
      <c r="N956" s="19">
        <v>-1450</v>
      </c>
    </row>
    <row r="957" spans="1:14" x14ac:dyDescent="0.45">
      <c r="A957" s="4">
        <v>46178</v>
      </c>
      <c r="B957" s="4">
        <v>46182</v>
      </c>
      <c r="C957" s="5" t="s">
        <v>446</v>
      </c>
      <c r="D957" s="9" t="s">
        <v>447</v>
      </c>
      <c r="E957" s="5" t="s">
        <v>67</v>
      </c>
      <c r="F957" s="5" t="s">
        <v>29</v>
      </c>
      <c r="G957" s="5" t="s">
        <v>30</v>
      </c>
      <c r="H957" s="5">
        <v>100</v>
      </c>
      <c r="I957" s="7">
        <v>78610</v>
      </c>
      <c r="J957" s="9">
        <v>0</v>
      </c>
      <c r="K957" s="9">
        <v>0</v>
      </c>
      <c r="L957" s="9" t="s">
        <v>31</v>
      </c>
      <c r="M957" s="15">
        <f t="shared" si="21"/>
        <v>7861000</v>
      </c>
      <c r="N957" s="19">
        <v>0</v>
      </c>
    </row>
    <row r="958" spans="1:14" x14ac:dyDescent="0.45">
      <c r="A958" s="4">
        <v>46178</v>
      </c>
      <c r="B958" s="4">
        <v>46182</v>
      </c>
      <c r="C958" s="5">
        <v>4493</v>
      </c>
      <c r="D958" s="9" t="s">
        <v>467</v>
      </c>
      <c r="E958" s="5" t="s">
        <v>67</v>
      </c>
      <c r="F958" s="5" t="s">
        <v>29</v>
      </c>
      <c r="G958" s="5" t="s">
        <v>41</v>
      </c>
      <c r="H958" s="5">
        <v>100</v>
      </c>
      <c r="I958" s="7">
        <v>1774</v>
      </c>
      <c r="J958" s="9">
        <v>0</v>
      </c>
      <c r="K958" s="9">
        <v>0</v>
      </c>
      <c r="L958" s="9" t="s">
        <v>90</v>
      </c>
      <c r="M958" s="15">
        <f t="shared" si="21"/>
        <v>177400</v>
      </c>
      <c r="N958" s="19">
        <v>-31100</v>
      </c>
    </row>
    <row r="959" spans="1:14" x14ac:dyDescent="0.45">
      <c r="A959" s="4">
        <v>46178</v>
      </c>
      <c r="B959" s="4">
        <v>46182</v>
      </c>
      <c r="C959" s="5">
        <v>6479</v>
      </c>
      <c r="D959" s="9" t="s">
        <v>468</v>
      </c>
      <c r="E959" s="5" t="s">
        <v>67</v>
      </c>
      <c r="F959" s="5" t="s">
        <v>29</v>
      </c>
      <c r="G959" s="5" t="s">
        <v>30</v>
      </c>
      <c r="H959" s="5">
        <v>100</v>
      </c>
      <c r="I959" s="7">
        <v>5069.8</v>
      </c>
      <c r="J959" s="9">
        <v>0</v>
      </c>
      <c r="K959" s="9">
        <v>0</v>
      </c>
      <c r="L959" s="9" t="s">
        <v>31</v>
      </c>
      <c r="M959" s="15">
        <f t="shared" si="21"/>
        <v>506980</v>
      </c>
      <c r="N959" s="19">
        <v>0</v>
      </c>
    </row>
    <row r="960" spans="1:14" x14ac:dyDescent="0.45">
      <c r="A960" s="4">
        <v>46178</v>
      </c>
      <c r="B960" s="4">
        <v>46182</v>
      </c>
      <c r="C960" s="5">
        <v>6890</v>
      </c>
      <c r="D960" s="9" t="s">
        <v>459</v>
      </c>
      <c r="E960" s="5" t="s">
        <v>67</v>
      </c>
      <c r="F960" s="5" t="s">
        <v>29</v>
      </c>
      <c r="G960" s="5" t="s">
        <v>30</v>
      </c>
      <c r="H960" s="5">
        <v>100</v>
      </c>
      <c r="I960" s="7">
        <v>9098</v>
      </c>
      <c r="J960" s="9">
        <v>0</v>
      </c>
      <c r="K960" s="9">
        <v>0</v>
      </c>
      <c r="L960" s="9" t="s">
        <v>31</v>
      </c>
      <c r="M960" s="15">
        <f t="shared" si="21"/>
        <v>909800</v>
      </c>
      <c r="N960" s="19">
        <v>0</v>
      </c>
    </row>
    <row r="961" spans="1:14" x14ac:dyDescent="0.45">
      <c r="A961" s="4">
        <v>46183</v>
      </c>
      <c r="B961" s="4">
        <v>46185</v>
      </c>
      <c r="C961" s="5">
        <v>7003</v>
      </c>
      <c r="D961" s="9" t="s">
        <v>444</v>
      </c>
      <c r="E961" s="5" t="s">
        <v>67</v>
      </c>
      <c r="F961" s="5" t="s">
        <v>29</v>
      </c>
      <c r="G961" s="5" t="s">
        <v>41</v>
      </c>
      <c r="H961" s="5">
        <v>100</v>
      </c>
      <c r="I961" s="7">
        <v>3942</v>
      </c>
      <c r="J961" s="9">
        <v>0</v>
      </c>
      <c r="K961" s="9">
        <v>0</v>
      </c>
      <c r="L961" s="9" t="s">
        <v>90</v>
      </c>
      <c r="M961" s="15">
        <f t="shared" si="21"/>
        <v>394200</v>
      </c>
      <c r="N961" s="19">
        <v>-277200</v>
      </c>
    </row>
    <row r="962" spans="1:14" x14ac:dyDescent="0.45">
      <c r="A962" s="4">
        <v>46185</v>
      </c>
      <c r="B962" s="4">
        <v>46189</v>
      </c>
      <c r="C962" s="5">
        <v>6890</v>
      </c>
      <c r="D962" s="9" t="s">
        <v>459</v>
      </c>
      <c r="E962" s="5" t="s">
        <v>67</v>
      </c>
      <c r="F962" s="5" t="s">
        <v>29</v>
      </c>
      <c r="G962" s="5" t="s">
        <v>41</v>
      </c>
      <c r="H962" s="5">
        <v>100</v>
      </c>
      <c r="I962" s="7">
        <v>9150</v>
      </c>
      <c r="J962" s="9">
        <v>0</v>
      </c>
      <c r="K962" s="9">
        <v>0</v>
      </c>
      <c r="L962" s="9" t="s">
        <v>90</v>
      </c>
      <c r="M962" s="15">
        <f t="shared" si="21"/>
        <v>915000</v>
      </c>
      <c r="N962" s="19">
        <v>5200</v>
      </c>
    </row>
    <row r="963" spans="1:14" x14ac:dyDescent="0.45">
      <c r="A963" s="4">
        <v>46188</v>
      </c>
      <c r="B963" s="4">
        <v>46190</v>
      </c>
      <c r="C963" s="5" t="s">
        <v>446</v>
      </c>
      <c r="D963" s="9" t="s">
        <v>447</v>
      </c>
      <c r="E963" s="5" t="s">
        <v>67</v>
      </c>
      <c r="F963" s="5" t="s">
        <v>29</v>
      </c>
      <c r="G963" s="5" t="s">
        <v>41</v>
      </c>
      <c r="H963" s="5">
        <v>100</v>
      </c>
      <c r="I963" s="7">
        <v>89810</v>
      </c>
      <c r="J963" s="9">
        <v>0</v>
      </c>
      <c r="K963" s="9">
        <v>0</v>
      </c>
      <c r="L963" s="9" t="s">
        <v>90</v>
      </c>
      <c r="M963" s="15">
        <f t="shared" si="21"/>
        <v>8981000</v>
      </c>
      <c r="N963" s="19">
        <v>1120000</v>
      </c>
    </row>
  </sheetData>
  <autoFilter ref="A1:N852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94"/>
  <sheetViews>
    <sheetView zoomScale="90" zoomScaleNormal="90" workbookViewId="0">
      <pane ySplit="1" topLeftCell="A80" activePane="bottomLeft" state="frozen"/>
      <selection activeCell="F1" sqref="F1"/>
      <selection pane="bottomLeft" activeCell="E95" sqref="E95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6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94" si="16">H80-I80</f>
        <v>4782</v>
      </c>
      <c r="K80" s="19">
        <f t="shared" ref="K80:K94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  <row r="85" spans="1:11" x14ac:dyDescent="0.45">
      <c r="A85" s="4">
        <v>46100</v>
      </c>
      <c r="B85" s="5" t="s">
        <v>50</v>
      </c>
      <c r="C85" s="5" t="s">
        <v>68</v>
      </c>
      <c r="D85" s="5">
        <v>1343</v>
      </c>
      <c r="E85" s="9" t="s">
        <v>387</v>
      </c>
      <c r="F85" s="9">
        <v>25.5</v>
      </c>
      <c r="G85" s="5">
        <v>50</v>
      </c>
      <c r="H85" s="19">
        <f t="shared" si="11"/>
        <v>1275</v>
      </c>
      <c r="I85" s="19">
        <v>258</v>
      </c>
      <c r="J85" s="19">
        <f t="shared" si="16"/>
        <v>1017</v>
      </c>
      <c r="K85" s="19">
        <f t="shared" si="17"/>
        <v>1017</v>
      </c>
    </row>
    <row r="86" spans="1:11" x14ac:dyDescent="0.45">
      <c r="A86" s="4">
        <v>46108</v>
      </c>
      <c r="B86" s="5" t="s">
        <v>50</v>
      </c>
      <c r="C86" s="5" t="s">
        <v>68</v>
      </c>
      <c r="D86" s="5">
        <v>4493</v>
      </c>
      <c r="E86" s="9" t="s">
        <v>382</v>
      </c>
      <c r="F86" s="9">
        <v>5</v>
      </c>
      <c r="G86" s="5">
        <v>100</v>
      </c>
      <c r="H86" s="19">
        <f t="shared" si="11"/>
        <v>500</v>
      </c>
      <c r="I86" s="19">
        <v>101</v>
      </c>
      <c r="J86" s="19">
        <f t="shared" si="16"/>
        <v>399</v>
      </c>
      <c r="K86" s="19">
        <f t="shared" si="17"/>
        <v>399</v>
      </c>
    </row>
    <row r="87" spans="1:11" x14ac:dyDescent="0.45">
      <c r="A87" s="4">
        <v>46111</v>
      </c>
      <c r="B87" s="5" t="s">
        <v>50</v>
      </c>
      <c r="C87" s="5" t="s">
        <v>68</v>
      </c>
      <c r="D87" s="5">
        <v>7751</v>
      </c>
      <c r="E87" s="6" t="s">
        <v>35</v>
      </c>
      <c r="F87" s="9">
        <v>80</v>
      </c>
      <c r="G87" s="5">
        <v>100</v>
      </c>
      <c r="H87" s="19">
        <f t="shared" ref="H87:H94" si="18">F87*G87</f>
        <v>8000</v>
      </c>
      <c r="I87" s="19">
        <v>1625</v>
      </c>
      <c r="J87" s="19">
        <f t="shared" si="16"/>
        <v>6375</v>
      </c>
      <c r="K87" s="19">
        <f t="shared" si="17"/>
        <v>6375</v>
      </c>
    </row>
    <row r="88" spans="1:11" x14ac:dyDescent="0.45">
      <c r="A88" s="4">
        <v>46111</v>
      </c>
      <c r="B88" s="5" t="s">
        <v>50</v>
      </c>
      <c r="C88" s="5" t="s">
        <v>68</v>
      </c>
      <c r="D88" s="5">
        <v>1911</v>
      </c>
      <c r="E88" s="9" t="s">
        <v>196</v>
      </c>
      <c r="F88" s="9">
        <v>28</v>
      </c>
      <c r="G88" s="5">
        <v>300</v>
      </c>
      <c r="H88" s="19">
        <f t="shared" si="18"/>
        <v>8400</v>
      </c>
      <c r="I88" s="19">
        <v>1706</v>
      </c>
      <c r="J88" s="19">
        <f t="shared" si="16"/>
        <v>6694</v>
      </c>
      <c r="K88" s="19">
        <f t="shared" si="17"/>
        <v>6694</v>
      </c>
    </row>
    <row r="89" spans="1:11" x14ac:dyDescent="0.45">
      <c r="A89" s="4">
        <v>46122</v>
      </c>
      <c r="B89" s="5" t="s">
        <v>50</v>
      </c>
      <c r="C89" s="5" t="s">
        <v>68</v>
      </c>
      <c r="D89" s="5">
        <v>1488</v>
      </c>
      <c r="E89" s="9" t="s">
        <v>419</v>
      </c>
      <c r="F89" s="9">
        <v>32</v>
      </c>
      <c r="G89" s="5">
        <v>55</v>
      </c>
      <c r="H89" s="19">
        <f t="shared" si="18"/>
        <v>1760</v>
      </c>
      <c r="I89" s="19">
        <v>357</v>
      </c>
      <c r="J89" s="19">
        <f t="shared" si="16"/>
        <v>1403</v>
      </c>
      <c r="K89" s="19">
        <f t="shared" si="17"/>
        <v>1403</v>
      </c>
    </row>
    <row r="90" spans="1:11" x14ac:dyDescent="0.45">
      <c r="A90" s="4">
        <v>46136</v>
      </c>
      <c r="B90" s="5" t="s">
        <v>50</v>
      </c>
      <c r="C90" s="5" t="s">
        <v>68</v>
      </c>
      <c r="D90" s="5">
        <v>1928</v>
      </c>
      <c r="E90" s="9" t="s">
        <v>222</v>
      </c>
      <c r="F90" s="9">
        <v>72</v>
      </c>
      <c r="G90" s="5">
        <v>100</v>
      </c>
      <c r="H90" s="19">
        <f t="shared" si="18"/>
        <v>7200</v>
      </c>
      <c r="I90" s="19">
        <v>1462</v>
      </c>
      <c r="J90" s="19">
        <f t="shared" si="16"/>
        <v>5738</v>
      </c>
      <c r="K90" s="19">
        <f t="shared" si="17"/>
        <v>5738</v>
      </c>
    </row>
    <row r="91" spans="1:11" x14ac:dyDescent="0.45">
      <c r="A91" s="4">
        <v>46171</v>
      </c>
      <c r="B91" s="5" t="s">
        <v>50</v>
      </c>
      <c r="C91" s="5" t="s">
        <v>68</v>
      </c>
      <c r="D91" s="5">
        <v>9602</v>
      </c>
      <c r="E91" s="9" t="s">
        <v>198</v>
      </c>
      <c r="F91" s="9">
        <v>67.5</v>
      </c>
      <c r="G91" s="5">
        <v>100</v>
      </c>
      <c r="H91" s="19">
        <f t="shared" si="18"/>
        <v>6750</v>
      </c>
      <c r="I91" s="19">
        <v>1370</v>
      </c>
      <c r="J91" s="19">
        <f t="shared" si="16"/>
        <v>5380</v>
      </c>
      <c r="K91" s="19">
        <f t="shared" si="17"/>
        <v>5380</v>
      </c>
    </row>
    <row r="92" spans="1:11" x14ac:dyDescent="0.45">
      <c r="A92" s="4">
        <v>46175</v>
      </c>
      <c r="B92" s="5" t="s">
        <v>50</v>
      </c>
      <c r="C92" s="5" t="s">
        <v>68</v>
      </c>
      <c r="D92" s="5">
        <v>6965</v>
      </c>
      <c r="E92" s="9" t="s">
        <v>411</v>
      </c>
      <c r="F92" s="9">
        <v>19</v>
      </c>
      <c r="G92" s="5">
        <v>100</v>
      </c>
      <c r="H92" s="19">
        <f t="shared" si="18"/>
        <v>1900</v>
      </c>
      <c r="I92" s="19">
        <v>385</v>
      </c>
      <c r="J92" s="19">
        <f t="shared" si="16"/>
        <v>1515</v>
      </c>
      <c r="K92" s="19">
        <f t="shared" si="17"/>
        <v>1515</v>
      </c>
    </row>
    <row r="93" spans="1:11" x14ac:dyDescent="0.45">
      <c r="A93" s="4">
        <v>46181</v>
      </c>
      <c r="B93" s="5" t="s">
        <v>50</v>
      </c>
      <c r="C93" s="5" t="s">
        <v>68</v>
      </c>
      <c r="D93" s="5">
        <v>8698</v>
      </c>
      <c r="E93" s="9" t="s">
        <v>275</v>
      </c>
      <c r="F93" s="9">
        <v>15.4</v>
      </c>
      <c r="G93" s="5">
        <v>300</v>
      </c>
      <c r="H93" s="19">
        <f t="shared" si="18"/>
        <v>4620</v>
      </c>
      <c r="I93" s="19">
        <v>938</v>
      </c>
      <c r="J93" s="19">
        <f t="shared" si="16"/>
        <v>3682</v>
      </c>
      <c r="K93" s="19">
        <f t="shared" si="17"/>
        <v>3682</v>
      </c>
    </row>
    <row r="94" spans="1:11" x14ac:dyDescent="0.45">
      <c r="A94" s="4">
        <v>46183</v>
      </c>
      <c r="B94" s="5" t="s">
        <v>50</v>
      </c>
      <c r="C94" s="5" t="s">
        <v>68</v>
      </c>
      <c r="D94" s="5">
        <v>2768</v>
      </c>
      <c r="E94" s="9" t="s">
        <v>465</v>
      </c>
      <c r="F94" s="9">
        <v>82.5</v>
      </c>
      <c r="G94" s="5">
        <v>100</v>
      </c>
      <c r="H94" s="19">
        <f t="shared" si="18"/>
        <v>8250</v>
      </c>
      <c r="I94" s="19">
        <v>1675</v>
      </c>
      <c r="J94" s="19">
        <f t="shared" si="16"/>
        <v>6575</v>
      </c>
      <c r="K94" s="19">
        <f t="shared" si="17"/>
        <v>6575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77"/>
  <sheetViews>
    <sheetView zoomScale="80" zoomScaleNormal="80" workbookViewId="0">
      <pane xSplit="4" ySplit="1" topLeftCell="H58" activePane="bottomRight" state="frozen"/>
      <selection pane="topRight" activeCell="E1" sqref="E1"/>
      <selection pane="bottomLeft" activeCell="A2" sqref="A2"/>
      <selection pane="bottomRight" activeCell="B81" sqref="B81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1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1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  <row r="68" spans="1:27" x14ac:dyDescent="0.45">
      <c r="A68" s="4">
        <v>46084</v>
      </c>
      <c r="B68" s="4">
        <v>46086</v>
      </c>
      <c r="C68" s="5">
        <v>6861</v>
      </c>
      <c r="D68" s="9" t="s">
        <v>442</v>
      </c>
      <c r="E68" s="5" t="s">
        <v>67</v>
      </c>
      <c r="F68" s="5" t="s">
        <v>84</v>
      </c>
      <c r="G68" s="5" t="s">
        <v>85</v>
      </c>
      <c r="H68" s="5" t="s">
        <v>86</v>
      </c>
      <c r="I68" s="5" t="s">
        <v>87</v>
      </c>
      <c r="J68" s="5">
        <v>100</v>
      </c>
      <c r="K68" s="7">
        <v>62760</v>
      </c>
      <c r="L68" s="9">
        <v>0</v>
      </c>
      <c r="M68" s="9">
        <v>0</v>
      </c>
      <c r="N68" s="9">
        <v>0</v>
      </c>
      <c r="O68" s="9" t="s">
        <v>177</v>
      </c>
      <c r="P68" s="21">
        <v>0</v>
      </c>
      <c r="Q68" s="6" t="s">
        <v>449</v>
      </c>
      <c r="R68" s="9">
        <v>0</v>
      </c>
      <c r="S68" s="9">
        <v>0</v>
      </c>
      <c r="T68" s="9">
        <v>0</v>
      </c>
      <c r="U68" s="9">
        <v>0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</row>
    <row r="69" spans="1:27" x14ac:dyDescent="0.45">
      <c r="A69" s="4">
        <v>46085</v>
      </c>
      <c r="B69" s="4">
        <v>46087</v>
      </c>
      <c r="C69" s="5">
        <v>6861</v>
      </c>
      <c r="D69" s="9" t="s">
        <v>442</v>
      </c>
      <c r="E69" s="5" t="s">
        <v>67</v>
      </c>
      <c r="F69" s="5" t="s">
        <v>88</v>
      </c>
      <c r="G69" s="5" t="s">
        <v>89</v>
      </c>
      <c r="H69" s="5" t="s">
        <v>86</v>
      </c>
      <c r="I69" s="5" t="s">
        <v>87</v>
      </c>
      <c r="J69" s="5">
        <v>100</v>
      </c>
      <c r="K69" s="7">
        <v>61160</v>
      </c>
      <c r="L69" s="9">
        <v>0</v>
      </c>
      <c r="M69" s="9">
        <v>0</v>
      </c>
      <c r="N69" s="9">
        <v>483</v>
      </c>
      <c r="O69" s="9" t="s">
        <v>90</v>
      </c>
      <c r="P69" s="31">
        <v>159517</v>
      </c>
      <c r="Q69" s="4">
        <v>46084</v>
      </c>
      <c r="R69" s="54">
        <v>62760</v>
      </c>
      <c r="S69" s="9">
        <v>0</v>
      </c>
      <c r="T69" s="9">
        <v>0</v>
      </c>
      <c r="U69" s="9">
        <v>0</v>
      </c>
      <c r="V69" s="9">
        <v>0</v>
      </c>
      <c r="W69" s="9">
        <v>105</v>
      </c>
      <c r="X69" s="9">
        <v>0</v>
      </c>
      <c r="Y69" s="9">
        <v>378</v>
      </c>
      <c r="Z69" s="9">
        <v>0</v>
      </c>
      <c r="AA69" s="9">
        <v>0</v>
      </c>
    </row>
    <row r="70" spans="1:27" x14ac:dyDescent="0.45">
      <c r="A70" s="4">
        <v>46091</v>
      </c>
      <c r="B70" s="4">
        <v>46093</v>
      </c>
      <c r="C70" s="5">
        <v>5801</v>
      </c>
      <c r="D70" s="9" t="s">
        <v>445</v>
      </c>
      <c r="E70" s="5" t="s">
        <v>67</v>
      </c>
      <c r="F70" s="5" t="s">
        <v>88</v>
      </c>
      <c r="G70" s="5" t="s">
        <v>89</v>
      </c>
      <c r="H70" s="5" t="s">
        <v>86</v>
      </c>
      <c r="I70" s="5" t="s">
        <v>87</v>
      </c>
      <c r="J70" s="5">
        <v>100</v>
      </c>
      <c r="K70" s="7">
        <v>27406</v>
      </c>
      <c r="L70" s="9">
        <v>0</v>
      </c>
      <c r="M70" s="9">
        <v>0</v>
      </c>
      <c r="N70" s="9">
        <v>83</v>
      </c>
      <c r="O70" s="9" t="s">
        <v>90</v>
      </c>
      <c r="P70" s="8">
        <v>18867</v>
      </c>
      <c r="Q70" s="49">
        <v>46091</v>
      </c>
      <c r="R70" s="7">
        <v>27595.5</v>
      </c>
      <c r="S70" s="9">
        <v>0</v>
      </c>
      <c r="T70" s="9">
        <v>0</v>
      </c>
      <c r="U70" s="9">
        <v>0</v>
      </c>
      <c r="V70" s="9">
        <v>0</v>
      </c>
      <c r="W70" s="9">
        <v>0</v>
      </c>
      <c r="X70" s="9">
        <v>0</v>
      </c>
      <c r="Y70" s="9">
        <v>83</v>
      </c>
      <c r="Z70" s="9">
        <v>0</v>
      </c>
      <c r="AA70" s="9">
        <v>0</v>
      </c>
    </row>
    <row r="71" spans="1:27" x14ac:dyDescent="0.45">
      <c r="A71" s="4">
        <v>46091</v>
      </c>
      <c r="B71" s="4">
        <v>46093</v>
      </c>
      <c r="C71" s="5">
        <v>5801</v>
      </c>
      <c r="D71" s="9" t="s">
        <v>445</v>
      </c>
      <c r="E71" s="5" t="s">
        <v>67</v>
      </c>
      <c r="F71" s="5" t="s">
        <v>84</v>
      </c>
      <c r="G71" s="5" t="s">
        <v>85</v>
      </c>
      <c r="H71" s="5" t="s">
        <v>86</v>
      </c>
      <c r="I71" s="5" t="s">
        <v>87</v>
      </c>
      <c r="J71" s="5">
        <v>100</v>
      </c>
      <c r="K71" s="7">
        <v>27595.5</v>
      </c>
      <c r="L71" s="9">
        <v>0</v>
      </c>
      <c r="M71" s="9">
        <v>0</v>
      </c>
      <c r="N71" s="9">
        <v>0</v>
      </c>
      <c r="O71" s="9" t="s">
        <v>31</v>
      </c>
      <c r="P71" s="9">
        <v>0</v>
      </c>
      <c r="Q71" s="9" t="s">
        <v>31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</row>
    <row r="72" spans="1:27" x14ac:dyDescent="0.45">
      <c r="A72" s="4">
        <v>46091</v>
      </c>
      <c r="B72" s="4">
        <v>46093</v>
      </c>
      <c r="C72" s="5">
        <v>5803</v>
      </c>
      <c r="D72" s="9" t="s">
        <v>400</v>
      </c>
      <c r="E72" s="5" t="s">
        <v>67</v>
      </c>
      <c r="F72" s="5" t="s">
        <v>88</v>
      </c>
      <c r="G72" s="5" t="s">
        <v>89</v>
      </c>
      <c r="H72" s="5" t="s">
        <v>86</v>
      </c>
      <c r="I72" s="5" t="s">
        <v>87</v>
      </c>
      <c r="J72" s="5">
        <v>100</v>
      </c>
      <c r="K72" s="7">
        <v>23965</v>
      </c>
      <c r="L72" s="9">
        <v>0</v>
      </c>
      <c r="M72" s="9">
        <v>0</v>
      </c>
      <c r="N72" s="9">
        <v>73</v>
      </c>
      <c r="O72" s="9" t="s">
        <v>90</v>
      </c>
      <c r="P72" s="8">
        <v>39427</v>
      </c>
      <c r="Q72" s="49">
        <v>46091</v>
      </c>
      <c r="R72" s="7">
        <v>24360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73</v>
      </c>
      <c r="Z72" s="9">
        <v>0</v>
      </c>
      <c r="AA72" s="9">
        <v>0</v>
      </c>
    </row>
    <row r="73" spans="1:27" x14ac:dyDescent="0.45">
      <c r="A73" s="4">
        <v>46091</v>
      </c>
      <c r="B73" s="4">
        <v>46093</v>
      </c>
      <c r="C73" s="5">
        <v>5803</v>
      </c>
      <c r="D73" s="9" t="s">
        <v>400</v>
      </c>
      <c r="E73" s="5" t="s">
        <v>67</v>
      </c>
      <c r="F73" s="5" t="s">
        <v>84</v>
      </c>
      <c r="G73" s="5" t="s">
        <v>85</v>
      </c>
      <c r="H73" s="5" t="s">
        <v>86</v>
      </c>
      <c r="I73" s="5" t="s">
        <v>87</v>
      </c>
      <c r="J73" s="5">
        <v>100</v>
      </c>
      <c r="K73" s="7">
        <v>24360</v>
      </c>
      <c r="L73" s="9">
        <v>0</v>
      </c>
      <c r="M73" s="9">
        <v>0</v>
      </c>
      <c r="N73" s="9">
        <v>0</v>
      </c>
      <c r="O73" s="9" t="s">
        <v>31</v>
      </c>
      <c r="P73" s="9">
        <v>0</v>
      </c>
      <c r="Q73" s="9" t="s">
        <v>31</v>
      </c>
      <c r="R73" s="9">
        <v>0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</row>
    <row r="74" spans="1:27" x14ac:dyDescent="0.45">
      <c r="A74" s="4">
        <v>46091</v>
      </c>
      <c r="B74" s="4">
        <v>46093</v>
      </c>
      <c r="C74" s="5">
        <v>6146</v>
      </c>
      <c r="D74" s="9" t="s">
        <v>451</v>
      </c>
      <c r="E74" s="5" t="s">
        <v>67</v>
      </c>
      <c r="F74" s="5" t="s">
        <v>88</v>
      </c>
      <c r="G74" s="5" t="s">
        <v>89</v>
      </c>
      <c r="H74" s="5" t="s">
        <v>86</v>
      </c>
      <c r="I74" s="5" t="s">
        <v>87</v>
      </c>
      <c r="J74" s="5">
        <v>100</v>
      </c>
      <c r="K74" s="7">
        <v>69580</v>
      </c>
      <c r="L74" s="9">
        <v>0</v>
      </c>
      <c r="M74" s="9">
        <v>0</v>
      </c>
      <c r="N74" s="9">
        <v>211</v>
      </c>
      <c r="O74" s="9" t="s">
        <v>90</v>
      </c>
      <c r="P74" s="8">
        <v>46089</v>
      </c>
      <c r="Q74" s="49">
        <v>46091</v>
      </c>
      <c r="R74" s="7">
        <v>70043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211</v>
      </c>
      <c r="Z74" s="9">
        <v>0</v>
      </c>
      <c r="AA74" s="9">
        <v>0</v>
      </c>
    </row>
    <row r="75" spans="1:27" x14ac:dyDescent="0.45">
      <c r="A75" s="4">
        <v>46091</v>
      </c>
      <c r="B75" s="4">
        <v>46093</v>
      </c>
      <c r="C75" s="5">
        <v>6146</v>
      </c>
      <c r="D75" s="9" t="s">
        <v>451</v>
      </c>
      <c r="E75" s="5" t="s">
        <v>67</v>
      </c>
      <c r="F75" s="5" t="s">
        <v>84</v>
      </c>
      <c r="G75" s="5" t="s">
        <v>85</v>
      </c>
      <c r="H75" s="5" t="s">
        <v>86</v>
      </c>
      <c r="I75" s="5" t="s">
        <v>87</v>
      </c>
      <c r="J75" s="5">
        <v>100</v>
      </c>
      <c r="K75" s="7">
        <v>70043</v>
      </c>
      <c r="L75" s="9">
        <v>0</v>
      </c>
      <c r="M75" s="9">
        <v>0</v>
      </c>
      <c r="N75" s="9">
        <v>0</v>
      </c>
      <c r="O75" s="9" t="s">
        <v>31</v>
      </c>
      <c r="P75" s="9">
        <v>0</v>
      </c>
      <c r="Q75" s="9" t="s">
        <v>31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</row>
    <row r="76" spans="1:27" x14ac:dyDescent="0.45">
      <c r="A76" s="4">
        <v>46106</v>
      </c>
      <c r="B76" s="4">
        <v>46107</v>
      </c>
      <c r="C76" s="5">
        <v>6146</v>
      </c>
      <c r="D76" s="9" t="s">
        <v>451</v>
      </c>
      <c r="E76" s="5" t="s">
        <v>67</v>
      </c>
      <c r="F76" s="5" t="s">
        <v>88</v>
      </c>
      <c r="G76" s="5" t="s">
        <v>85</v>
      </c>
      <c r="H76" s="5" t="s">
        <v>86</v>
      </c>
      <c r="I76" s="5" t="s">
        <v>87</v>
      </c>
      <c r="J76" s="5">
        <v>100</v>
      </c>
      <c r="K76" s="7">
        <v>67240</v>
      </c>
      <c r="L76" s="9">
        <v>0</v>
      </c>
      <c r="M76" s="9">
        <v>0</v>
      </c>
      <c r="N76" s="9">
        <v>0</v>
      </c>
      <c r="O76" s="9" t="s">
        <v>453</v>
      </c>
      <c r="P76" s="8">
        <v>0</v>
      </c>
      <c r="Q76" s="6" t="s">
        <v>453</v>
      </c>
      <c r="R76" s="7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</row>
    <row r="77" spans="1:27" x14ac:dyDescent="0.45">
      <c r="A77" s="4">
        <v>46107</v>
      </c>
      <c r="B77" s="4">
        <v>46108</v>
      </c>
      <c r="C77" s="5">
        <v>6146</v>
      </c>
      <c r="D77" s="9" t="s">
        <v>451</v>
      </c>
      <c r="E77" s="5" t="s">
        <v>67</v>
      </c>
      <c r="F77" s="5" t="s">
        <v>84</v>
      </c>
      <c r="G77" s="5" t="s">
        <v>89</v>
      </c>
      <c r="H77" s="5" t="s">
        <v>86</v>
      </c>
      <c r="I77" s="5" t="s">
        <v>87</v>
      </c>
      <c r="J77" s="5">
        <v>100</v>
      </c>
      <c r="K77" s="7">
        <v>67270</v>
      </c>
      <c r="L77" s="9">
        <v>0</v>
      </c>
      <c r="M77" s="9">
        <v>0</v>
      </c>
      <c r="N77" s="9">
        <v>810</v>
      </c>
      <c r="O77" s="9"/>
      <c r="P77" s="21">
        <v>-3810</v>
      </c>
      <c r="Q77" s="4">
        <v>46106</v>
      </c>
      <c r="R77" s="9">
        <v>67240</v>
      </c>
      <c r="S77" s="9">
        <v>0</v>
      </c>
      <c r="T77" s="9">
        <v>0</v>
      </c>
      <c r="U77" s="9">
        <v>0</v>
      </c>
      <c r="V77" s="9">
        <v>0</v>
      </c>
      <c r="W77" s="9">
        <v>0</v>
      </c>
      <c r="X77" s="9">
        <v>0</v>
      </c>
      <c r="Y77" s="9">
        <v>810</v>
      </c>
      <c r="Z77" s="9">
        <v>0</v>
      </c>
      <c r="AA7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75"/>
  <sheetViews>
    <sheetView tabSelected="1" zoomScale="90" zoomScaleNormal="90" workbookViewId="0">
      <pane xSplit="3" ySplit="1" topLeftCell="D23" activePane="bottomRight" state="frozen"/>
      <selection pane="topRight" activeCell="D1" sqref="D1"/>
      <selection pane="bottomLeft" activeCell="A2" sqref="A2"/>
      <selection pane="bottomRight" activeCell="B30" sqref="B30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21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46094</v>
      </c>
      <c r="B26" s="4">
        <v>46100</v>
      </c>
      <c r="C26" s="9" t="s">
        <v>282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8935</v>
      </c>
      <c r="I26" s="21">
        <v>33579</v>
      </c>
      <c r="J26" s="21">
        <v>30000</v>
      </c>
      <c r="K26" s="21">
        <v>0</v>
      </c>
    </row>
    <row r="27" spans="1:11" x14ac:dyDescent="0.45">
      <c r="A27" s="4">
        <v>46126</v>
      </c>
      <c r="B27" s="4">
        <v>46132</v>
      </c>
      <c r="C27" s="9" t="s">
        <v>282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8622</v>
      </c>
      <c r="I27" s="21">
        <v>34796</v>
      </c>
      <c r="J27" s="21">
        <v>30000</v>
      </c>
      <c r="K27" s="21">
        <v>0</v>
      </c>
    </row>
    <row r="28" spans="1:11" x14ac:dyDescent="0.45">
      <c r="A28" s="4">
        <v>46155</v>
      </c>
      <c r="B28" s="4">
        <v>46161</v>
      </c>
      <c r="C28" s="9" t="s">
        <v>282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8199</v>
      </c>
      <c r="I28" s="21">
        <v>36592</v>
      </c>
      <c r="J28" s="21">
        <v>30000</v>
      </c>
      <c r="K28" s="21">
        <v>0</v>
      </c>
    </row>
    <row r="29" spans="1:11" x14ac:dyDescent="0.45">
      <c r="A29" s="4">
        <v>46188</v>
      </c>
      <c r="B29" s="4">
        <v>46192</v>
      </c>
      <c r="C29" s="9" t="s">
        <v>282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7982</v>
      </c>
      <c r="I29" s="21">
        <v>37587</v>
      </c>
      <c r="J29" s="21">
        <v>30000</v>
      </c>
      <c r="K29" s="21">
        <v>0</v>
      </c>
    </row>
    <row r="30" spans="1:11" x14ac:dyDescent="0.45">
      <c r="A30" s="4">
        <v>46128</v>
      </c>
      <c r="B30" s="4">
        <v>45950</v>
      </c>
      <c r="C30" s="9" t="s">
        <v>377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40242</v>
      </c>
      <c r="I30" s="21">
        <v>17395</v>
      </c>
      <c r="J30" s="21">
        <v>70000</v>
      </c>
      <c r="K30" s="21">
        <v>0</v>
      </c>
    </row>
    <row r="31" spans="1:11" x14ac:dyDescent="0.45">
      <c r="A31" s="4">
        <v>45974</v>
      </c>
      <c r="B31" s="4">
        <v>45979</v>
      </c>
      <c r="C31" s="9" t="s">
        <v>377</v>
      </c>
      <c r="D31" s="5" t="s">
        <v>159</v>
      </c>
      <c r="E31" s="5" t="s">
        <v>283</v>
      </c>
      <c r="F31" s="5" t="s">
        <v>30</v>
      </c>
      <c r="G31" s="5" t="s">
        <v>284</v>
      </c>
      <c r="H31" s="21">
        <v>38038</v>
      </c>
      <c r="I31" s="21">
        <v>18403</v>
      </c>
      <c r="J31" s="21">
        <v>70000</v>
      </c>
      <c r="K31" s="21">
        <v>0</v>
      </c>
    </row>
    <row r="32" spans="1:11" x14ac:dyDescent="0.45">
      <c r="A32" s="4">
        <v>46006</v>
      </c>
      <c r="B32" s="4">
        <v>46009</v>
      </c>
      <c r="C32" s="9" t="s">
        <v>377</v>
      </c>
      <c r="D32" s="5" t="s">
        <v>159</v>
      </c>
      <c r="E32" s="5" t="s">
        <v>283</v>
      </c>
      <c r="F32" s="5" t="s">
        <v>30</v>
      </c>
      <c r="G32" s="5" t="s">
        <v>284</v>
      </c>
      <c r="H32" s="21">
        <v>37910</v>
      </c>
      <c r="I32" s="21">
        <v>18465</v>
      </c>
      <c r="J32" s="21">
        <v>70000</v>
      </c>
      <c r="K32" s="21">
        <v>0</v>
      </c>
    </row>
    <row r="33" spans="1:11" x14ac:dyDescent="0.45">
      <c r="A33" s="4">
        <v>46036</v>
      </c>
      <c r="B33" s="4">
        <v>46041</v>
      </c>
      <c r="C33" s="9" t="s">
        <v>377</v>
      </c>
      <c r="D33" s="5" t="s">
        <v>159</v>
      </c>
      <c r="E33" s="5" t="s">
        <v>283</v>
      </c>
      <c r="F33" s="5" t="s">
        <v>30</v>
      </c>
      <c r="G33" s="5" t="s">
        <v>284</v>
      </c>
      <c r="H33" s="21">
        <v>35338</v>
      </c>
      <c r="I33" s="21">
        <v>19809</v>
      </c>
      <c r="J33" s="21">
        <v>70000</v>
      </c>
      <c r="K33" s="21">
        <v>0</v>
      </c>
    </row>
    <row r="34" spans="1:11" x14ac:dyDescent="0.45">
      <c r="A34" s="4">
        <v>46066</v>
      </c>
      <c r="B34" s="4">
        <v>46071</v>
      </c>
      <c r="C34" s="9" t="s">
        <v>377</v>
      </c>
      <c r="D34" s="5" t="s">
        <v>159</v>
      </c>
      <c r="E34" s="5" t="s">
        <v>283</v>
      </c>
      <c r="F34" s="5" t="s">
        <v>30</v>
      </c>
      <c r="G34" s="5" t="s">
        <v>284</v>
      </c>
      <c r="H34" s="21">
        <v>34978</v>
      </c>
      <c r="I34" s="21">
        <v>20013</v>
      </c>
      <c r="J34" s="21">
        <v>70000</v>
      </c>
      <c r="K34" s="21">
        <v>0</v>
      </c>
    </row>
    <row r="35" spans="1:11" x14ac:dyDescent="0.45">
      <c r="A35" s="4">
        <v>46094</v>
      </c>
      <c r="B35" s="4">
        <v>46099</v>
      </c>
      <c r="C35" s="9" t="s">
        <v>377</v>
      </c>
      <c r="D35" s="5" t="s">
        <v>159</v>
      </c>
      <c r="E35" s="5" t="s">
        <v>283</v>
      </c>
      <c r="F35" s="5" t="s">
        <v>30</v>
      </c>
      <c r="G35" s="5" t="s">
        <v>284</v>
      </c>
      <c r="H35" s="21">
        <v>35624</v>
      </c>
      <c r="I35" s="21">
        <v>19650</v>
      </c>
      <c r="J35" s="21">
        <v>70000</v>
      </c>
      <c r="K35" s="21">
        <v>0</v>
      </c>
    </row>
    <row r="36" spans="1:11" x14ac:dyDescent="0.45">
      <c r="A36" s="4">
        <v>46126</v>
      </c>
      <c r="B36" s="4">
        <v>46129</v>
      </c>
      <c r="C36" s="9" t="s">
        <v>377</v>
      </c>
      <c r="D36" s="5" t="s">
        <v>159</v>
      </c>
      <c r="E36" s="5" t="s">
        <v>283</v>
      </c>
      <c r="F36" s="5" t="s">
        <v>30</v>
      </c>
      <c r="G36" s="5" t="s">
        <v>284</v>
      </c>
      <c r="H36" s="21">
        <v>33669</v>
      </c>
      <c r="I36" s="21">
        <v>20791</v>
      </c>
      <c r="J36" s="21">
        <v>70000</v>
      </c>
      <c r="K36" s="21">
        <v>0</v>
      </c>
    </row>
    <row r="37" spans="1:11" x14ac:dyDescent="0.45">
      <c r="A37" s="4">
        <v>46155</v>
      </c>
      <c r="B37" s="4">
        <v>46160</v>
      </c>
      <c r="C37" s="9" t="s">
        <v>377</v>
      </c>
      <c r="D37" s="5" t="s">
        <v>159</v>
      </c>
      <c r="E37" s="5" t="s">
        <v>283</v>
      </c>
      <c r="F37" s="5" t="s">
        <v>30</v>
      </c>
      <c r="G37" s="5" t="s">
        <v>284</v>
      </c>
      <c r="H37" s="21">
        <v>32999</v>
      </c>
      <c r="I37" s="21">
        <v>21213</v>
      </c>
      <c r="J37" s="21">
        <v>70000</v>
      </c>
      <c r="K37" s="21">
        <v>0</v>
      </c>
    </row>
    <row r="38" spans="1:11" x14ac:dyDescent="0.45">
      <c r="A38" s="4">
        <v>46188</v>
      </c>
      <c r="B38" s="4">
        <v>46191</v>
      </c>
      <c r="C38" s="9" t="s">
        <v>377</v>
      </c>
      <c r="D38" s="5" t="s">
        <v>159</v>
      </c>
      <c r="E38" s="5" t="s">
        <v>283</v>
      </c>
      <c r="F38" s="5" t="s">
        <v>30</v>
      </c>
      <c r="G38" s="5" t="s">
        <v>284</v>
      </c>
      <c r="H38" s="21">
        <v>31937</v>
      </c>
      <c r="I38" s="21">
        <v>21918</v>
      </c>
      <c r="J38" s="21">
        <v>70000</v>
      </c>
      <c r="K38" s="21">
        <v>0</v>
      </c>
    </row>
    <row r="39" spans="1:11" x14ac:dyDescent="0.45">
      <c r="A39" s="4">
        <v>44368</v>
      </c>
      <c r="B39" s="4">
        <v>44371</v>
      </c>
      <c r="C39" s="9" t="s">
        <v>163</v>
      </c>
      <c r="D39" s="5" t="s">
        <v>159</v>
      </c>
      <c r="E39" s="5" t="s">
        <v>295</v>
      </c>
      <c r="F39" s="5" t="s">
        <v>30</v>
      </c>
      <c r="G39" s="5" t="s">
        <v>160</v>
      </c>
      <c r="H39" s="8">
        <v>21735</v>
      </c>
      <c r="I39" s="8">
        <v>13803</v>
      </c>
      <c r="J39" s="8">
        <v>30000</v>
      </c>
      <c r="K39" s="21">
        <v>0</v>
      </c>
    </row>
    <row r="40" spans="1:11" x14ac:dyDescent="0.45">
      <c r="A40" s="4">
        <v>44377</v>
      </c>
      <c r="B40" s="4">
        <v>44382</v>
      </c>
      <c r="C40" s="9" t="s">
        <v>163</v>
      </c>
      <c r="D40" s="5" t="s">
        <v>159</v>
      </c>
      <c r="E40" s="5" t="s">
        <v>295</v>
      </c>
      <c r="F40" s="5" t="s">
        <v>30</v>
      </c>
      <c r="G40" s="5" t="s">
        <v>160</v>
      </c>
      <c r="H40" s="8">
        <v>7034</v>
      </c>
      <c r="I40" s="8">
        <v>14217</v>
      </c>
      <c r="J40" s="8">
        <v>10000</v>
      </c>
      <c r="K40" s="21">
        <v>0</v>
      </c>
    </row>
    <row r="41" spans="1:11" x14ac:dyDescent="0.45">
      <c r="A41" s="4">
        <v>44529</v>
      </c>
      <c r="B41" s="4">
        <v>44532</v>
      </c>
      <c r="C41" s="9" t="s">
        <v>163</v>
      </c>
      <c r="D41" s="5" t="s">
        <v>159</v>
      </c>
      <c r="E41" s="5" t="s">
        <v>295</v>
      </c>
      <c r="F41" s="5" t="s">
        <v>298</v>
      </c>
      <c r="G41" s="5"/>
      <c r="H41" s="8">
        <v>28769</v>
      </c>
      <c r="I41" s="8">
        <v>13383</v>
      </c>
      <c r="J41" s="8">
        <v>38502</v>
      </c>
      <c r="K41" s="19">
        <v>-1498</v>
      </c>
    </row>
    <row r="42" spans="1:11" x14ac:dyDescent="0.45">
      <c r="A42" s="4">
        <v>44403</v>
      </c>
      <c r="B42" s="4">
        <v>44406</v>
      </c>
      <c r="C42" s="9" t="s">
        <v>163</v>
      </c>
      <c r="D42" s="5" t="s">
        <v>159</v>
      </c>
      <c r="E42" s="5" t="s">
        <v>67</v>
      </c>
      <c r="F42" s="5" t="s">
        <v>30</v>
      </c>
      <c r="G42" s="5" t="s">
        <v>160</v>
      </c>
      <c r="H42" s="8">
        <v>7310</v>
      </c>
      <c r="I42" s="8">
        <v>13681</v>
      </c>
      <c r="J42" s="8">
        <v>10000</v>
      </c>
      <c r="K42" s="21">
        <v>0</v>
      </c>
    </row>
    <row r="43" spans="1:11" x14ac:dyDescent="0.45">
      <c r="A43" s="4">
        <v>44525</v>
      </c>
      <c r="B43" s="4">
        <v>44530</v>
      </c>
      <c r="C43" s="9" t="s">
        <v>163</v>
      </c>
      <c r="D43" s="5" t="s">
        <v>159</v>
      </c>
      <c r="E43" s="5" t="s">
        <v>67</v>
      </c>
      <c r="F43" s="5" t="s">
        <v>298</v>
      </c>
      <c r="G43" s="5"/>
      <c r="H43" s="8">
        <v>7310</v>
      </c>
      <c r="I43" s="8">
        <v>13973</v>
      </c>
      <c r="J43" s="8">
        <v>10214</v>
      </c>
      <c r="K43" s="19">
        <v>214</v>
      </c>
    </row>
    <row r="44" spans="1:11" x14ac:dyDescent="0.45">
      <c r="A44" s="4">
        <v>44165</v>
      </c>
      <c r="B44" s="4">
        <v>44168</v>
      </c>
      <c r="C44" s="9" t="s">
        <v>158</v>
      </c>
      <c r="D44" s="5" t="s">
        <v>159</v>
      </c>
      <c r="E44" s="5" t="s">
        <v>295</v>
      </c>
      <c r="F44" s="5" t="s">
        <v>30</v>
      </c>
      <c r="G44" s="5" t="s">
        <v>160</v>
      </c>
      <c r="H44" s="8">
        <v>3846</v>
      </c>
      <c r="I44" s="8">
        <v>13000</v>
      </c>
      <c r="J44" s="8">
        <v>5000</v>
      </c>
      <c r="K44" s="21">
        <v>0</v>
      </c>
    </row>
    <row r="45" spans="1:11" x14ac:dyDescent="0.45">
      <c r="A45" s="4">
        <v>44201</v>
      </c>
      <c r="B45" s="4">
        <v>44204</v>
      </c>
      <c r="C45" s="9" t="s">
        <v>158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7604</v>
      </c>
      <c r="I45" s="8">
        <v>13152</v>
      </c>
      <c r="J45" s="8">
        <v>10000</v>
      </c>
      <c r="K45" s="21">
        <v>0</v>
      </c>
    </row>
    <row r="46" spans="1:11" x14ac:dyDescent="0.45">
      <c r="A46" s="4">
        <v>44236</v>
      </c>
      <c r="B46" s="4">
        <v>44242</v>
      </c>
      <c r="C46" s="9" t="s">
        <v>158</v>
      </c>
      <c r="D46" s="5" t="s">
        <v>159</v>
      </c>
      <c r="E46" s="5" t="s">
        <v>295</v>
      </c>
      <c r="F46" s="5" t="s">
        <v>30</v>
      </c>
      <c r="G46" s="5" t="s">
        <v>160</v>
      </c>
      <c r="H46" s="8">
        <v>7041</v>
      </c>
      <c r="I46" s="8">
        <v>14202</v>
      </c>
      <c r="J46" s="8">
        <v>10000</v>
      </c>
      <c r="K46" s="21">
        <v>0</v>
      </c>
    </row>
    <row r="47" spans="1:11" x14ac:dyDescent="0.45">
      <c r="A47" s="4">
        <v>44257</v>
      </c>
      <c r="B47" s="4">
        <v>44260</v>
      </c>
      <c r="C47" s="9" t="s">
        <v>158</v>
      </c>
      <c r="D47" s="5" t="s">
        <v>159</v>
      </c>
      <c r="E47" s="5" t="s">
        <v>295</v>
      </c>
      <c r="F47" s="5" t="s">
        <v>30</v>
      </c>
      <c r="G47" s="5" t="s">
        <v>160</v>
      </c>
      <c r="H47" s="8">
        <v>6947</v>
      </c>
      <c r="I47" s="8">
        <v>14394</v>
      </c>
      <c r="J47" s="8">
        <v>10000</v>
      </c>
      <c r="K47" s="21">
        <v>0</v>
      </c>
    </row>
    <row r="48" spans="1:11" x14ac:dyDescent="0.45">
      <c r="A48" s="4">
        <v>44295</v>
      </c>
      <c r="B48" s="4">
        <v>44300</v>
      </c>
      <c r="C48" s="9" t="s">
        <v>158</v>
      </c>
      <c r="D48" s="5" t="s">
        <v>159</v>
      </c>
      <c r="E48" s="5" t="s">
        <v>295</v>
      </c>
      <c r="F48" s="5" t="s">
        <v>30</v>
      </c>
      <c r="G48" s="5" t="s">
        <v>160</v>
      </c>
      <c r="H48" s="8">
        <v>6460</v>
      </c>
      <c r="I48" s="8">
        <v>15481</v>
      </c>
      <c r="J48" s="8">
        <v>10000</v>
      </c>
      <c r="K48" s="21">
        <v>0</v>
      </c>
    </row>
    <row r="49" spans="1:11" x14ac:dyDescent="0.45">
      <c r="A49" s="4">
        <v>44327</v>
      </c>
      <c r="B49" s="4">
        <v>44330</v>
      </c>
      <c r="C49" s="9" t="s">
        <v>158</v>
      </c>
      <c r="D49" s="5" t="s">
        <v>159</v>
      </c>
      <c r="E49" s="5" t="s">
        <v>295</v>
      </c>
      <c r="F49" s="5" t="s">
        <v>30</v>
      </c>
      <c r="G49" s="5" t="s">
        <v>160</v>
      </c>
      <c r="H49" s="8">
        <v>3167</v>
      </c>
      <c r="I49" s="8">
        <v>15789</v>
      </c>
      <c r="J49" s="8">
        <v>5000</v>
      </c>
      <c r="K49" s="21">
        <v>0</v>
      </c>
    </row>
    <row r="50" spans="1:11" x14ac:dyDescent="0.45">
      <c r="A50" s="4">
        <v>44350</v>
      </c>
      <c r="B50" s="4">
        <v>44355</v>
      </c>
      <c r="C50" s="9" t="s">
        <v>158</v>
      </c>
      <c r="D50" s="5" t="s">
        <v>159</v>
      </c>
      <c r="E50" s="5" t="s">
        <v>295</v>
      </c>
      <c r="F50" s="5" t="s">
        <v>30</v>
      </c>
      <c r="G50" s="5" t="s">
        <v>160</v>
      </c>
      <c r="H50" s="8">
        <v>6263</v>
      </c>
      <c r="I50" s="8">
        <v>15967</v>
      </c>
      <c r="J50" s="8">
        <v>10000</v>
      </c>
      <c r="K50" s="21">
        <v>0</v>
      </c>
    </row>
    <row r="51" spans="1:11" x14ac:dyDescent="0.45">
      <c r="A51" s="4">
        <v>44377</v>
      </c>
      <c r="B51" s="4">
        <v>44382</v>
      </c>
      <c r="C51" s="9" t="s">
        <v>158</v>
      </c>
      <c r="D51" s="5" t="s">
        <v>159</v>
      </c>
      <c r="E51" s="5" t="s">
        <v>295</v>
      </c>
      <c r="F51" s="5" t="s">
        <v>30</v>
      </c>
      <c r="G51" s="5" t="s">
        <v>160</v>
      </c>
      <c r="H51" s="8">
        <v>6081</v>
      </c>
      <c r="I51" s="8">
        <v>16444</v>
      </c>
      <c r="J51" s="8">
        <v>10000</v>
      </c>
      <c r="K51" s="21">
        <v>0</v>
      </c>
    </row>
    <row r="52" spans="1:11" x14ac:dyDescent="0.45">
      <c r="A52" s="4">
        <v>44921</v>
      </c>
      <c r="B52" s="4">
        <v>44924</v>
      </c>
      <c r="C52" s="9" t="s">
        <v>158</v>
      </c>
      <c r="D52" s="5" t="s">
        <v>159</v>
      </c>
      <c r="E52" s="5" t="s">
        <v>295</v>
      </c>
      <c r="F52" s="5" t="s">
        <v>30</v>
      </c>
      <c r="G52" s="5" t="s">
        <v>160</v>
      </c>
      <c r="H52" s="8">
        <v>24940</v>
      </c>
      <c r="I52" s="8">
        <v>17961</v>
      </c>
      <c r="J52" s="8">
        <v>44794</v>
      </c>
      <c r="K52" s="21">
        <v>0</v>
      </c>
    </row>
    <row r="53" spans="1:11" x14ac:dyDescent="0.45">
      <c r="A53" s="4">
        <v>45243</v>
      </c>
      <c r="B53" s="4">
        <v>45246</v>
      </c>
      <c r="C53" s="9" t="s">
        <v>158</v>
      </c>
      <c r="D53" s="5" t="s">
        <v>159</v>
      </c>
      <c r="E53" s="5" t="s">
        <v>295</v>
      </c>
      <c r="F53" s="5" t="s">
        <v>30</v>
      </c>
      <c r="G53" s="5" t="s">
        <v>160</v>
      </c>
      <c r="H53" s="8">
        <v>590</v>
      </c>
      <c r="I53" s="8">
        <v>23925</v>
      </c>
      <c r="J53" s="8">
        <v>1410</v>
      </c>
      <c r="K53" s="21">
        <v>0</v>
      </c>
    </row>
    <row r="54" spans="1:11" x14ac:dyDescent="0.45">
      <c r="A54" s="4">
        <v>45656</v>
      </c>
      <c r="B54" s="4">
        <v>45663</v>
      </c>
      <c r="C54" s="9" t="s">
        <v>158</v>
      </c>
      <c r="D54" s="5" t="s">
        <v>159</v>
      </c>
      <c r="E54" s="5" t="s">
        <v>295</v>
      </c>
      <c r="F54" s="5" t="s">
        <v>289</v>
      </c>
      <c r="G54" s="5"/>
      <c r="H54" s="21">
        <v>3846</v>
      </c>
      <c r="I54" s="9"/>
      <c r="J54" s="9">
        <v>0</v>
      </c>
      <c r="K54" s="21">
        <v>0</v>
      </c>
    </row>
    <row r="55" spans="1:11" x14ac:dyDescent="0.45">
      <c r="A55" s="4">
        <v>45772</v>
      </c>
      <c r="B55" s="4">
        <v>45778</v>
      </c>
      <c r="C55" s="9" t="s">
        <v>158</v>
      </c>
      <c r="D55" s="5" t="s">
        <v>159</v>
      </c>
      <c r="E55" s="5" t="s">
        <v>295</v>
      </c>
      <c r="F55" s="5" t="s">
        <v>298</v>
      </c>
      <c r="G55" s="5"/>
      <c r="H55" s="21">
        <v>69093</v>
      </c>
      <c r="I55" s="19">
        <v>28502</v>
      </c>
      <c r="J55" s="19">
        <v>196929</v>
      </c>
      <c r="K55" s="21">
        <v>86850</v>
      </c>
    </row>
    <row r="56" spans="1:11" x14ac:dyDescent="0.45">
      <c r="A56" s="4">
        <v>44404</v>
      </c>
      <c r="B56" s="4">
        <v>44407</v>
      </c>
      <c r="C56" s="9" t="s">
        <v>158</v>
      </c>
      <c r="D56" s="5" t="s">
        <v>159</v>
      </c>
      <c r="E56" s="5" t="s">
        <v>67</v>
      </c>
      <c r="F56" s="5" t="s">
        <v>30</v>
      </c>
      <c r="G56" s="5" t="s">
        <v>160</v>
      </c>
      <c r="H56" s="8">
        <v>11832</v>
      </c>
      <c r="I56" s="8">
        <v>16903</v>
      </c>
      <c r="J56" s="8">
        <v>20000</v>
      </c>
      <c r="K56" s="21">
        <v>0</v>
      </c>
    </row>
    <row r="57" spans="1:11" x14ac:dyDescent="0.45">
      <c r="A57" s="4">
        <v>44435</v>
      </c>
      <c r="B57" s="4">
        <v>44440</v>
      </c>
      <c r="C57" s="9" t="s">
        <v>158</v>
      </c>
      <c r="D57" s="5" t="s">
        <v>159</v>
      </c>
      <c r="E57" s="5" t="s">
        <v>67</v>
      </c>
      <c r="F57" s="5" t="s">
        <v>298</v>
      </c>
      <c r="G57" s="5"/>
      <c r="H57" s="8">
        <v>11832</v>
      </c>
      <c r="I57" s="8">
        <v>17067</v>
      </c>
      <c r="J57" s="8">
        <v>20194</v>
      </c>
      <c r="K57" s="19">
        <v>194</v>
      </c>
    </row>
    <row r="58" spans="1:11" x14ac:dyDescent="0.45">
      <c r="A58" s="4">
        <v>45656</v>
      </c>
      <c r="B58" s="4">
        <v>45663</v>
      </c>
      <c r="C58" s="9" t="s">
        <v>158</v>
      </c>
      <c r="D58" s="5" t="s">
        <v>159</v>
      </c>
      <c r="E58" s="5" t="s">
        <v>294</v>
      </c>
      <c r="F58" s="5" t="s">
        <v>296</v>
      </c>
      <c r="G58" s="5"/>
      <c r="H58" s="21">
        <v>3846</v>
      </c>
      <c r="I58" s="9"/>
      <c r="J58" s="9">
        <v>0</v>
      </c>
      <c r="K58" s="21">
        <v>0</v>
      </c>
    </row>
    <row r="59" spans="1:11" x14ac:dyDescent="0.45">
      <c r="A59" s="4">
        <v>45824</v>
      </c>
      <c r="B59" s="4">
        <v>45827</v>
      </c>
      <c r="C59" s="9" t="s">
        <v>158</v>
      </c>
      <c r="D59" s="5" t="s">
        <v>159</v>
      </c>
      <c r="E59" s="5" t="s">
        <v>68</v>
      </c>
      <c r="F59" s="5" t="s">
        <v>298</v>
      </c>
      <c r="G59" s="5"/>
      <c r="H59" s="21">
        <v>3846</v>
      </c>
      <c r="I59" s="19">
        <v>31398</v>
      </c>
      <c r="J59" s="19">
        <v>12076</v>
      </c>
      <c r="K59" s="21">
        <v>-1071</v>
      </c>
    </row>
    <row r="60" spans="1:11" x14ac:dyDescent="0.45">
      <c r="A60" s="4">
        <v>44188</v>
      </c>
      <c r="B60" s="4">
        <v>44193</v>
      </c>
      <c r="C60" s="9" t="s">
        <v>162</v>
      </c>
      <c r="D60" s="5" t="s">
        <v>159</v>
      </c>
      <c r="E60" s="5" t="s">
        <v>295</v>
      </c>
      <c r="F60" s="5" t="s">
        <v>30</v>
      </c>
      <c r="G60" s="5" t="s">
        <v>160</v>
      </c>
      <c r="H60" s="8">
        <v>4490</v>
      </c>
      <c r="I60" s="8">
        <v>22273</v>
      </c>
      <c r="J60" s="8">
        <v>10000</v>
      </c>
      <c r="K60" s="21">
        <v>0</v>
      </c>
    </row>
    <row r="61" spans="1:11" x14ac:dyDescent="0.45">
      <c r="A61" s="4">
        <v>44224</v>
      </c>
      <c r="B61" s="4">
        <v>44229</v>
      </c>
      <c r="C61" s="9" t="s">
        <v>162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2108</v>
      </c>
      <c r="I61" s="8">
        <v>23721</v>
      </c>
      <c r="J61" s="8">
        <v>5000</v>
      </c>
      <c r="K61" s="21">
        <v>0</v>
      </c>
    </row>
    <row r="62" spans="1:11" x14ac:dyDescent="0.45">
      <c r="A62" s="4">
        <v>44257</v>
      </c>
      <c r="B62" s="4">
        <v>44260</v>
      </c>
      <c r="C62" s="9" t="s">
        <v>162</v>
      </c>
      <c r="D62" s="5" t="s">
        <v>159</v>
      </c>
      <c r="E62" s="5" t="s">
        <v>295</v>
      </c>
      <c r="F62" s="5" t="s">
        <v>30</v>
      </c>
      <c r="G62" s="5" t="s">
        <v>160</v>
      </c>
      <c r="H62" s="8">
        <v>1938</v>
      </c>
      <c r="I62" s="8">
        <v>25804</v>
      </c>
      <c r="J62" s="8">
        <v>5000</v>
      </c>
      <c r="K62" s="21">
        <v>0</v>
      </c>
    </row>
    <row r="63" spans="1:11" x14ac:dyDescent="0.45">
      <c r="A63" s="4">
        <v>44295</v>
      </c>
      <c r="B63" s="4">
        <v>44300</v>
      </c>
      <c r="C63" s="9" t="s">
        <v>162</v>
      </c>
      <c r="D63" s="5" t="s">
        <v>159</v>
      </c>
      <c r="E63" s="5" t="s">
        <v>295</v>
      </c>
      <c r="F63" s="5" t="s">
        <v>30</v>
      </c>
      <c r="G63" s="5" t="s">
        <v>160</v>
      </c>
      <c r="H63" s="8">
        <v>1920</v>
      </c>
      <c r="I63" s="8">
        <v>26043</v>
      </c>
      <c r="J63" s="8">
        <v>5000</v>
      </c>
      <c r="K63" s="21">
        <v>0</v>
      </c>
    </row>
    <row r="64" spans="1:11" x14ac:dyDescent="0.45">
      <c r="A64" s="4">
        <v>44327</v>
      </c>
      <c r="B64" s="4">
        <v>44330</v>
      </c>
      <c r="C64" s="9" t="s">
        <v>162</v>
      </c>
      <c r="D64" s="5" t="s">
        <v>159</v>
      </c>
      <c r="E64" s="5" t="s">
        <v>295</v>
      </c>
      <c r="F64" s="5" t="s">
        <v>30</v>
      </c>
      <c r="G64" s="5" t="s">
        <v>160</v>
      </c>
      <c r="H64" s="8">
        <v>4166</v>
      </c>
      <c r="I64" s="8">
        <v>24007</v>
      </c>
      <c r="J64" s="8">
        <v>10000</v>
      </c>
      <c r="K64" s="21">
        <v>0</v>
      </c>
    </row>
    <row r="65" spans="1:11" x14ac:dyDescent="0.45">
      <c r="A65" s="4">
        <v>44350</v>
      </c>
      <c r="B65" s="4">
        <v>44355</v>
      </c>
      <c r="C65" s="9" t="s">
        <v>162</v>
      </c>
      <c r="D65" s="5" t="s">
        <v>159</v>
      </c>
      <c r="E65" s="5" t="s">
        <v>295</v>
      </c>
      <c r="F65" s="5" t="s">
        <v>30</v>
      </c>
      <c r="G65" s="5" t="s">
        <v>160</v>
      </c>
      <c r="H65" s="8">
        <v>1983</v>
      </c>
      <c r="I65" s="8">
        <v>25216</v>
      </c>
      <c r="J65" s="8">
        <v>5000</v>
      </c>
      <c r="K65" s="21">
        <v>0</v>
      </c>
    </row>
    <row r="66" spans="1:11" x14ac:dyDescent="0.45">
      <c r="A66" s="4">
        <v>44362</v>
      </c>
      <c r="B66" s="4">
        <v>44365</v>
      </c>
      <c r="C66" s="9" t="s">
        <v>162</v>
      </c>
      <c r="D66" s="5" t="s">
        <v>159</v>
      </c>
      <c r="E66" s="5" t="s">
        <v>295</v>
      </c>
      <c r="F66" s="5" t="s">
        <v>298</v>
      </c>
      <c r="G66" s="5"/>
      <c r="H66" s="8">
        <v>16605</v>
      </c>
      <c r="I66" s="8">
        <v>26019</v>
      </c>
      <c r="J66" s="8">
        <v>43205</v>
      </c>
      <c r="K66" s="19">
        <v>3205</v>
      </c>
    </row>
    <row r="67" spans="1:11" x14ac:dyDescent="0.45">
      <c r="A67" s="4">
        <v>44187</v>
      </c>
      <c r="B67" s="4">
        <v>44190</v>
      </c>
      <c r="C67" s="9" t="s">
        <v>161</v>
      </c>
      <c r="D67" s="5" t="s">
        <v>159</v>
      </c>
      <c r="E67" s="5" t="s">
        <v>295</v>
      </c>
      <c r="F67" s="5" t="s">
        <v>30</v>
      </c>
      <c r="G67" s="5" t="s">
        <v>160</v>
      </c>
      <c r="H67" s="8">
        <v>6447</v>
      </c>
      <c r="I67" s="8">
        <v>15511</v>
      </c>
      <c r="J67" s="8">
        <v>10000</v>
      </c>
      <c r="K67" s="19">
        <v>0</v>
      </c>
    </row>
    <row r="68" spans="1:11" x14ac:dyDescent="0.45">
      <c r="A68" s="4">
        <v>44224</v>
      </c>
      <c r="B68" s="4">
        <v>44229</v>
      </c>
      <c r="C68" s="9" t="s">
        <v>161</v>
      </c>
      <c r="D68" s="5" t="s">
        <v>159</v>
      </c>
      <c r="E68" s="5" t="s">
        <v>295</v>
      </c>
      <c r="F68" s="5" t="s">
        <v>30</v>
      </c>
      <c r="G68" s="5" t="s">
        <v>160</v>
      </c>
      <c r="H68" s="8">
        <v>3093</v>
      </c>
      <c r="I68" s="8">
        <v>16167</v>
      </c>
      <c r="J68" s="8">
        <v>5000</v>
      </c>
      <c r="K68" s="19">
        <v>0</v>
      </c>
    </row>
    <row r="69" spans="1:11" x14ac:dyDescent="0.45">
      <c r="A69" s="4">
        <v>44257</v>
      </c>
      <c r="B69" s="4">
        <v>44260</v>
      </c>
      <c r="C69" s="9" t="s">
        <v>161</v>
      </c>
      <c r="D69" s="5" t="s">
        <v>159</v>
      </c>
      <c r="E69" s="5" t="s">
        <v>295</v>
      </c>
      <c r="F69" s="5" t="s">
        <v>30</v>
      </c>
      <c r="G69" s="5" t="s">
        <v>160</v>
      </c>
      <c r="H69" s="8">
        <v>2978</v>
      </c>
      <c r="I69" s="8">
        <v>16792</v>
      </c>
      <c r="J69" s="8">
        <v>5000</v>
      </c>
      <c r="K69" s="19">
        <v>0</v>
      </c>
    </row>
    <row r="70" spans="1:11" x14ac:dyDescent="0.45">
      <c r="A70" s="4">
        <v>44295</v>
      </c>
      <c r="B70" s="4">
        <v>44300</v>
      </c>
      <c r="C70" s="9" t="s">
        <v>161</v>
      </c>
      <c r="D70" s="5" t="s">
        <v>159</v>
      </c>
      <c r="E70" s="5" t="s">
        <v>295</v>
      </c>
      <c r="F70" s="5" t="s">
        <v>30</v>
      </c>
      <c r="G70" s="5" t="s">
        <v>160</v>
      </c>
      <c r="H70" s="8">
        <v>2810</v>
      </c>
      <c r="I70" s="8">
        <v>17792</v>
      </c>
      <c r="J70" s="8">
        <v>5000</v>
      </c>
      <c r="K70" s="19">
        <v>0</v>
      </c>
    </row>
    <row r="71" spans="1:11" x14ac:dyDescent="0.45">
      <c r="A71" s="4">
        <v>44327</v>
      </c>
      <c r="B71" s="4">
        <v>44330</v>
      </c>
      <c r="C71" s="9" t="s">
        <v>161</v>
      </c>
      <c r="D71" s="5" t="s">
        <v>159</v>
      </c>
      <c r="E71" s="5" t="s">
        <v>295</v>
      </c>
      <c r="F71" s="5" t="s">
        <v>30</v>
      </c>
      <c r="G71" s="5" t="s">
        <v>160</v>
      </c>
      <c r="H71" s="8">
        <v>2903</v>
      </c>
      <c r="I71" s="8">
        <v>17225</v>
      </c>
      <c r="J71" s="8">
        <v>5000</v>
      </c>
      <c r="K71" s="19">
        <v>0</v>
      </c>
    </row>
    <row r="72" spans="1:11" x14ac:dyDescent="0.45">
      <c r="A72" s="4">
        <v>44350</v>
      </c>
      <c r="B72" s="4">
        <v>44355</v>
      </c>
      <c r="C72" s="9" t="s">
        <v>161</v>
      </c>
      <c r="D72" s="5" t="s">
        <v>159</v>
      </c>
      <c r="E72" s="5" t="s">
        <v>295</v>
      </c>
      <c r="F72" s="5" t="s">
        <v>30</v>
      </c>
      <c r="G72" s="5" t="s">
        <v>160</v>
      </c>
      <c r="H72" s="8">
        <v>2819</v>
      </c>
      <c r="I72" s="8">
        <v>17736</v>
      </c>
      <c r="J72" s="8">
        <v>5000</v>
      </c>
      <c r="K72" s="19">
        <v>0</v>
      </c>
    </row>
    <row r="73" spans="1:11" x14ac:dyDescent="0.45">
      <c r="A73" s="4">
        <v>44362</v>
      </c>
      <c r="B73" s="4">
        <v>44365</v>
      </c>
      <c r="C73" s="9" t="s">
        <v>161</v>
      </c>
      <c r="D73" s="5" t="s">
        <v>159</v>
      </c>
      <c r="E73" s="5" t="s">
        <v>295</v>
      </c>
      <c r="F73" s="5" t="s">
        <v>298</v>
      </c>
      <c r="G73" s="5"/>
      <c r="H73" s="8">
        <v>21050</v>
      </c>
      <c r="I73" s="8">
        <v>18410</v>
      </c>
      <c r="J73" s="8">
        <v>38753</v>
      </c>
      <c r="K73" s="19">
        <v>3753</v>
      </c>
    </row>
    <row r="74" spans="1:11" x14ac:dyDescent="0.45">
      <c r="A74" s="4">
        <v>45243</v>
      </c>
      <c r="B74" s="4">
        <v>45247</v>
      </c>
      <c r="C74" s="9" t="s">
        <v>230</v>
      </c>
      <c r="D74" s="5" t="s">
        <v>159</v>
      </c>
      <c r="E74" s="5" t="s">
        <v>67</v>
      </c>
      <c r="F74" s="5" t="s">
        <v>30</v>
      </c>
      <c r="G74" s="5" t="s">
        <v>160</v>
      </c>
      <c r="H74" s="19">
        <v>180143</v>
      </c>
      <c r="I74" s="19">
        <v>12456</v>
      </c>
      <c r="J74" s="8">
        <v>224386</v>
      </c>
      <c r="K74" s="21">
        <v>0</v>
      </c>
    </row>
    <row r="75" spans="1:11" x14ac:dyDescent="0.45">
      <c r="A75" s="4">
        <v>45664</v>
      </c>
      <c r="B75" s="4">
        <v>45671</v>
      </c>
      <c r="C75" s="9" t="s">
        <v>230</v>
      </c>
      <c r="D75" s="5" t="s">
        <v>159</v>
      </c>
      <c r="E75" s="5" t="s">
        <v>67</v>
      </c>
      <c r="F75" s="5" t="s">
        <v>298</v>
      </c>
      <c r="G75" s="5"/>
      <c r="H75" s="21">
        <v>180143</v>
      </c>
      <c r="I75" s="21">
        <v>15148</v>
      </c>
      <c r="J75" s="21">
        <v>272881</v>
      </c>
      <c r="K75" s="19">
        <v>48494</v>
      </c>
    </row>
  </sheetData>
  <autoFilter ref="A1:K65" xr:uid="{00000000-0009-0000-0000-000007000000}">
    <sortState xmlns:xlrd2="http://schemas.microsoft.com/office/spreadsheetml/2017/richdata2" ref="A2:K75">
      <sortCondition ref="C1:C65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9"/>
  <sheetViews>
    <sheetView zoomScale="70" zoomScaleNormal="70" workbookViewId="0">
      <pane xSplit="4" ySplit="1" topLeftCell="E45" activePane="bottomRight" state="frozen"/>
      <selection pane="topRight" activeCell="E1" sqref="E1"/>
      <selection pane="bottomLeft" activeCell="A2" sqref="A2"/>
      <selection pane="bottomRight" activeCell="Q64" sqref="Q64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9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  <row r="59" spans="1:19" x14ac:dyDescent="0.45">
      <c r="A59" s="4">
        <v>46185</v>
      </c>
      <c r="B59" s="4">
        <v>46188</v>
      </c>
      <c r="C59" s="5" t="s">
        <v>469</v>
      </c>
      <c r="D59" s="9" t="s">
        <v>470</v>
      </c>
      <c r="E59" s="5" t="s">
        <v>67</v>
      </c>
      <c r="F59" s="5" t="s">
        <v>29</v>
      </c>
      <c r="G59" s="5" t="s">
        <v>30</v>
      </c>
      <c r="H59" s="5" t="s">
        <v>135</v>
      </c>
      <c r="I59" s="9">
        <v>3</v>
      </c>
      <c r="J59" s="9">
        <v>135</v>
      </c>
      <c r="K59" s="12">
        <f>I59*J59</f>
        <v>405</v>
      </c>
      <c r="L59" s="9">
        <v>160.28</v>
      </c>
      <c r="M59" s="9"/>
      <c r="N59" s="9"/>
      <c r="O59" s="9" t="s">
        <v>471</v>
      </c>
      <c r="P59" s="19">
        <f>21637*3</f>
        <v>64911</v>
      </c>
      <c r="Q59" s="9">
        <v>0</v>
      </c>
      <c r="R59" s="9">
        <v>0</v>
      </c>
      <c r="S59" s="9">
        <f t="shared" si="0"/>
        <v>0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2026-06-16T14:01:53Z</dcterms:modified>
</cp:coreProperties>
</file>