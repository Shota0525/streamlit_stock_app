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331" documentId="13_ncr:1_{F23918F6-93A0-4FFC-9C54-3B208A91E086}" xr6:coauthVersionLast="47" xr6:coauthVersionMax="47" xr10:uidLastSave="{D773F06B-6CDF-448E-83CE-8DFAD65DDF61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国内株式_特定!$A$1:$N$677</definedName>
    <definedName name="_xlnm._FilterDatabase" localSheetId="5" hidden="1">国内株式_特定_配当!$A$1:$K$15</definedName>
    <definedName name="_xlnm._FilterDatabase" localSheetId="7" hidden="1">投資信託!$A$1:$K$55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812" i="6" l="1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Q10" i="10" s="1"/>
  <c r="R10" i="10" s="1"/>
  <c r="P10" i="10"/>
  <c r="N10" i="10"/>
  <c r="M10" i="10"/>
  <c r="L10" i="10"/>
  <c r="K10" i="10"/>
  <c r="H10" i="10"/>
  <c r="G10" i="10"/>
  <c r="F10" i="10"/>
  <c r="D10" i="10"/>
  <c r="C10" i="10"/>
  <c r="B10" i="10"/>
  <c r="E10" i="10" s="1"/>
  <c r="T1" i="8" l="1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S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K6" i="11" l="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N5" i="10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<sst xmlns="http://schemas.openxmlformats.org/spreadsheetml/2006/main" count="6461" uniqueCount="439">
  <si>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</si>
  <si>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</si>
  <si>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</si>
  <si>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</si>
  <si>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</si>
  <si>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</si>
  <si>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</si>
  <si>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</si>
  <si>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</si>
  <si>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</si>
  <si>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</si>
  <si>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</si>
  <si>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</si>
  <si>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</si>
  <si>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</si>
  <si>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</si>
  <si>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</si>
  <si>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</si>
  <si>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</si>
  <si>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</si>
  <si>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</si>
  <si>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</si>
  <si>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</si>
  <si>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</si>
  <si>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</si>
  <si>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</si>
  <si>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</si>
  <si>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</si>
  <si>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</si>
  <si>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</si>
  <si>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</si>
  <si>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</si>
  <si>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</si>
  <si>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</si>
  <si>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</si>
  <si>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</si>
  <si>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</si>
  <si>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</si>
  <si>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</si>
  <si>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</si>
  <si>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</si>
  <si>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</si>
  <si>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</si>
  <si>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</si>
  <si>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</si>
  <si>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</si>
  <si>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</si>
  <si>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</si>
  <si>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</si>
  <si>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</si>
  <si>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</si>
  <si>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</si>
  <si>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</si>
  <si>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</si>
  <si>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</si>
  <si>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</si>
  <si>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</si>
  <si>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</si>
  <si>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</si>
  <si>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</si>
  <si>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</si>
  <si>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</si>
  <si>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</si>
  <si>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</si>
  <si>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</si>
  <si>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</si>
  <si>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</si>
  <si>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</si>
  <si>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</si>
  <si>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</si>
  <si>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</si>
  <si>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</si>
  <si>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</si>
  <si>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</si>
  <si>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</si>
  <si>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</si>
  <si>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</si>
  <si>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</si>
  <si>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</si>
  <si>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</si>
  <si>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</si>
  <si>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</si>
  <si>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</si>
  <si>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</si>
  <si>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</si>
  <si>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</si>
  <si>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</si>
  <si>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</si>
  <si>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</si>
  <si>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</si>
  <si>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</si>
  <si>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</si>
  <si>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</si>
  <si>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</si>
  <si>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</si>
  <si>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</si>
  <si>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</si>
  <si>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</si>
  <si>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</si>
  <si>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</si>
  <si>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</si>
  <si>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</si>
  <si>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</si>
  <si>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</si>
  <si>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</si>
  <si>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</si>
  <si>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</si>
  <si>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</si>
  <si>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</si>
  <si>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</si>
  <si>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</si>
  <si>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</si>
  <si>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</si>
  <si>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</si>
  <si>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</si>
  <si>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</si>
  <si>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</si>
  <si>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</si>
  <si>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</si>
  <si>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</si>
  <si>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</si>
  <si>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</si>
  <si>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</si>
  <si>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</si>
  <si>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</si>
  <si>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</si>
  <si>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</si>
  <si>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</si>
  <si>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</si>
  <si>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</si>
  <si>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</si>
  <si>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</si>
  <si>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</si>
  <si>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</si>
  <si>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</si>
  <si>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</si>
  <si>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</si>
  <si>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</si>
  <si>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</si>
  <si>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</si>
  <si>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</si>
  <si>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</si>
  <si>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</si>
  <si>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</si>
  <si>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</si>
  <si>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</si>
  <si>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</si>
  <si>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</si>
  <si>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</si>
  <si>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</si>
  <si>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</si>
  <si>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</si>
  <si>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</si>
  <si>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</si>
  <si>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</si>
  <si>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</si>
  <si>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</si>
  <si>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</si>
  <si>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</si>
  <si>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</si>
  <si>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</si>
  <si>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</si>
  <si>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</si>
  <si>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</si>
  <si>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</si>
  <si>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</si>
  <si>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</si>
  <si>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</si>
  <si>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</si>
  <si>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</si>
  <si>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</si>
  <si>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</si>
  <si>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</si>
  <si>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</si>
  <si>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</si>
  <si>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</si>
  <si>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</si>
  <si>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</si>
  <si>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</si>
  <si>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</si>
  <si>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</si>
  <si>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</si>
  <si>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</si>
  <si>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</si>
  <si>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</si>
  <si>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</si>
  <si>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</si>
  <si>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</si>
  <si>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</si>
  <si>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</si>
  <si>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</si>
  <si>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</si>
  <si>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</si>
  <si>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</si>
  <si>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</si>
  <si>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</si>
  <si>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</si>
  <si>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</si>
  <si>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</si>
  <si>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</si>
  <si>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</si>
  <si>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</si>
  <si>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</si>
  <si>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</si>
  <si>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</si>
  <si>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</si>
  <si>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</si>
  <si>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</si>
  <si>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</si>
  <si>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</si>
  <si>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</si>
  <si>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</si>
  <si>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</si>
  <si>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</si>
  <si>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</si>
  <si>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</si>
  <si>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</si>
  <si>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</si>
  <si>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</si>
  <si>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</si>
  <si>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</si>
  <si>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</si>
  <si>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</si>
  <si>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</si>
  <si>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</si>
  <si>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</si>
  <si>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</si>
  <si>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</si>
  <si>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</si>
  <si>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</si>
  <si>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</si>
  <si>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</si>
  <si>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</si>
  <si>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</si>
  <si>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</si>
  <si>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</si>
  <si>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</si>
  <si>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</si>
  <si>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</si>
  <si>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</si>
  <si>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</si>
  <si>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</si>
  <si>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</si>
  <si>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</si>
  <si>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</si>
  <si>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</si>
  <si>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</si>
  <si>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</si>
  <si>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</si>
  <si>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</si>
  <si>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</si>
  <si>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</si>
  <si>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</si>
  <si>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</si>
  <si>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</si>
  <si>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</si>
  <si>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</si>
  <si>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</si>
  <si>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</si>
  <si>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</si>
  <si>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</si>
  <si>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</si>
  <si>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</si>
  <si>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</si>
  <si>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</si>
  <si>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</si>
  <si>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</si>
  <si>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</si>
  <si>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</si>
  <si>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</si>
  <si>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</si>
  <si>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</si>
  <si>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</si>
  <si>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</si>
  <si>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</si>
  <si>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</si>
  <si>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</si>
  <si>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</si>
  <si>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</si>
  <si>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</si>
  <si>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</si>
  <si>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</si>
  <si>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</si>
  <si>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</si>
  <si>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</si>
  <si>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</si>
  <si>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</si>
  <si>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</si>
  <si>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</si>
  <si>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</si>
  <si>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</si>
  <si>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</si>
  <si>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</si>
  <si>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</si>
  <si>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</si>
  <si>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</si>
  <si>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</si>
  <si>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</si>
  <si>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</si>
  <si>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</si>
  <si>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</si>
  <si>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</si>
  <si>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</si>
  <si>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</si>
  <si>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</si>
  <si>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</si>
  <si>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</si>
  <si>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</si>
  <si>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</si>
  <si>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</si>
  <si>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</si>
  <si>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</si>
  <si>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</si>
  <si>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</si>
  <si>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</si>
  <si>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</si>
  <si>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</si>
  <si>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</si>
  <si>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</si>
  <si>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</si>
  <si>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</si>
  <si>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</si>
  <si>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</si>
  <si>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</si>
  <si>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</si>
  <si>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</si>
  <si>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</si>
  <si>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</si>
  <si>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</si>
  <si>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</si>
  <si>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</si>
  <si>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</si>
  <si>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</si>
  <si>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</si>
  <si>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</si>
  <si>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</si>
  <si>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</si>
  <si>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</si>
  <si>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</si>
  <si>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</si>
  <si>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</si>
  <si>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</si>
  <si>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</si>
  <si>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</si>
  <si>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</si>
  <si>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</si>
  <si>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</si>
  <si>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</si>
  <si>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</si>
  <si>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</si>
  <si>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</si>
  <si>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</si>
  <si>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</si>
  <si>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</si>
  <si>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</si>
  <si>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</si>
  <si>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</si>
  <si>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20205/7/2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</si>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</sst>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4" fontId="0" fillId="0" borderId="10" xfId="0" applyNumberForma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F13" sqref="F13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8" t="s">
        <v>213</v>
      </c>
      <c r="C1" s="58"/>
      <c r="D1" s="58"/>
      <c r="E1" s="58"/>
      <c r="F1" s="58" t="s">
        <v>216</v>
      </c>
      <c r="G1" s="58"/>
      <c r="H1" s="58"/>
      <c r="I1" s="58"/>
      <c r="J1" s="58"/>
      <c r="K1" s="58" t="s">
        <v>218</v>
      </c>
      <c r="L1" s="58"/>
      <c r="M1" s="58"/>
      <c r="N1" s="58"/>
      <c r="O1" s="64" t="s">
        <v>302</v>
      </c>
      <c r="P1" s="65"/>
      <c r="Q1" s="65"/>
      <c r="R1" s="66"/>
      <c r="S1" s="37" t="s">
        <v>219</v>
      </c>
      <c r="U1" s="48" t="s">
        <v>362</v>
      </c>
      <c r="V1" s="48" t="s">
        <v>363</v>
      </c>
    </row>
    <row r="2" spans="1:22" x14ac:dyDescent="0.45">
      <c r="B2" s="54" t="s">
        <v>212</v>
      </c>
      <c r="C2" s="54"/>
      <c r="D2" s="54" t="s">
        <v>211</v>
      </c>
      <c r="E2" s="56" t="s">
        <v>214</v>
      </c>
      <c r="F2" s="54" t="s">
        <v>212</v>
      </c>
      <c r="G2" s="54"/>
      <c r="H2" s="54" t="s">
        <v>211</v>
      </c>
      <c r="I2" s="56" t="s">
        <v>214</v>
      </c>
      <c r="J2" s="61" t="s">
        <v>217</v>
      </c>
      <c r="K2" s="54" t="s">
        <v>212</v>
      </c>
      <c r="L2" s="54"/>
      <c r="M2" s="56" t="s">
        <v>214</v>
      </c>
      <c r="N2" s="61" t="s">
        <v>217</v>
      </c>
      <c r="O2" s="62" t="s">
        <v>212</v>
      </c>
      <c r="P2" s="63"/>
      <c r="Q2" s="56" t="s">
        <v>214</v>
      </c>
      <c r="R2" s="61" t="s">
        <v>217</v>
      </c>
      <c r="S2" s="60" t="s">
        <v>214</v>
      </c>
      <c r="U2" s="49">
        <v>44145</v>
      </c>
      <c r="V2" s="49">
        <f ca="1">TODAY()</f>
        <v>46057</v>
      </c>
    </row>
    <row r="3" spans="1:22" x14ac:dyDescent="0.45">
      <c r="B3" s="33" t="s">
        <v>206</v>
      </c>
      <c r="C3" s="33" t="s">
        <v>207</v>
      </c>
      <c r="D3" s="55"/>
      <c r="E3" s="57"/>
      <c r="F3" s="32" t="s">
        <v>206</v>
      </c>
      <c r="G3" s="32" t="s">
        <v>207</v>
      </c>
      <c r="H3" s="54"/>
      <c r="I3" s="56"/>
      <c r="J3" s="56"/>
      <c r="K3" s="32" t="s">
        <v>206</v>
      </c>
      <c r="L3" s="32" t="s">
        <v>207</v>
      </c>
      <c r="M3" s="56"/>
      <c r="N3" s="56"/>
      <c r="O3" s="32" t="s">
        <v>206</v>
      </c>
      <c r="P3" s="32" t="s">
        <v>207</v>
      </c>
      <c r="Q3" s="56"/>
      <c r="R3" s="56"/>
      <c r="S3" s="60"/>
      <c r="U3" s="58" t="s">
        <v>364</v>
      </c>
      <c r="V3" s="58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450295</v>
      </c>
      <c r="E4" s="35">
        <f>SUM(B4:D4)</f>
        <v>3169595</v>
      </c>
      <c r="F4" s="20">
        <f>SUM(F5:F100)</f>
        <v>8362963</v>
      </c>
      <c r="G4" s="20">
        <f>SUM(G5:G100)</f>
        <v>-3705029</v>
      </c>
      <c r="H4" s="20">
        <f>SUM(H5:H100)</f>
        <v>802155</v>
      </c>
      <c r="I4" s="35">
        <f>SUM(F4:H4)</f>
        <v>5460089</v>
      </c>
      <c r="J4" s="35">
        <f>SUM(J5:J100)</f>
        <v>4350871.9196499996</v>
      </c>
      <c r="K4" s="20">
        <f>SUM(K5:K100)</f>
        <v>210348</v>
      </c>
      <c r="L4" s="20">
        <f>SUM(L5:L100)</f>
        <v>-674243</v>
      </c>
      <c r="M4" s="35">
        <f>SUM(K4:L4)</f>
        <v>-463895</v>
      </c>
      <c r="N4" s="35">
        <f>SUM(N5:N100)</f>
        <v>-465950.67485000001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7206091.4580999995</v>
      </c>
      <c r="U4" s="59">
        <f ca="1">(V2-U2)/365</f>
        <v>5.2383561643835614</v>
      </c>
      <c r="V4" s="59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SUMIFS(投資信託!$K$2:$K$1023,投資信託!$B$2:$B$1023,"&gt;=2021/1/1",投資信託!$B$2:$B$1023,"&lt;=2021/12/31",投資信託!$K$2:$K$1023,"&gt;=0")</f>
        <v>7366</v>
      </c>
      <c r="P5" s="19">
        <f>SUMIFS(投資信託!$K$2:$K$1023,投資信託!$B$2:$B$1023,"&gt;=2021/1/1",投資信託!$B$2:$B$1023,"&lt;=2021/12/31",投資信託!$K$2:$K$1023,"&lt;0")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SUMIFS(投資信託!$K$2:$K$1023,投資信託!$B$2:$B$1023,"&gt;=2022/1/1",投資信託!$B$2:$B$1023,"&lt;=2022/12/31",投資信託!$K$2:$K$1023,"&gt;=0")</f>
        <v>0</v>
      </c>
      <c r="P6" s="19">
        <f>SUMIFS(投資信託!$K$2:$K$1023,投資信託!$B$2:$B$1023,"&gt;=2022/1/1",投資信託!$B$2:$B$1023,"&lt;=2022/12/31",投資信託!$K$2:$K$1023,"&lt;0")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SUMIFS(投資信託!$K$2:$K$1023,投資信託!$B$2:$B$1023,"&gt;=2023/1/1",投資信託!$B$2:$B$1023,"&lt;=2023/12/31",投資信託!$K$2:$K$1023,"&gt;=0")</f>
        <v>0</v>
      </c>
      <c r="P7" s="19">
        <f>SUMIFS(投資信託!$K$2:$K$1023,投資信託!$B$2:$B$1023,"&gt;=2023/1/1",投資信託!$B$2:$B$1023,"&lt;=2023/12/31",投資信託!$K$2:$K$1023,"&lt;0")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SUMIFS(投資信託!$K$2:$K$1023,投資信託!$B$2:$B$1023,"&gt;=2024/1/1",投資信託!$B$2:$B$1023,"&lt;=2024/12/31",投資信託!$K$2:$K$1023,"&gt;=0")</f>
        <v>0</v>
      </c>
      <c r="P8" s="19">
        <f>SUMIFS(投資信託!$K$2:$K$1023,投資信託!$B$2:$B$1023,"&gt;=2024/1/1",投資信託!$B$2:$B$1023,"&lt;=2024/12/31",投資信託!$K$2:$K$1023,"&lt;0")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SUMIFS(投資信託!$K$2:$K$1023,投資信託!$B$2:$B$1023,"&gt;=2025/1/1",投資信託!$B$2:$B$1023,"&lt;=2025/12/31",投資信託!$K$2:$K$1023,"&gt;=0")</f>
        <v>185421</v>
      </c>
      <c r="P9" s="19">
        <f>SUMIFS(投資信託!$K$2:$K$1023,投資信託!$B$2:$B$1023,"&gt;=2025/1/1",投資信託!$B$2:$B$1023,"&lt;=2025/12/31",投資信託!$K$2:$K$1023,"&lt;0")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415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0</v>
      </c>
      <c r="E10" s="35">
        <f t="shared" si="7"/>
        <v>0</v>
      </c>
      <c r="F10" s="19">
        <f>SUMIFS(国内株式_特定!$N$2:$N$998,国内株式_特定!$B$2:$B$998,"&gt;=2026/1/1",国内株式_特定!$B$2:$B$998,"&lt;=2026/12/31",国内株式_特定!$N$2:$N$998,"&gt;=0")</f>
        <v>716570</v>
      </c>
      <c r="G10" s="19">
        <f>SUMIFS(国内株式_特定!$N$2:$N$998,国内株式_特定!$B$2:$B$998,"&gt;=2026/1/1",国内株式_特定!$B$2:$B$998,"&lt;=2026/12/31",国内株式_特定!$N$2:$N$998,"&lt;0")</f>
        <v>-279730</v>
      </c>
      <c r="H10" s="19">
        <f>SUMIFS(国内株式_特定_配当!$H$2:$H$999,国内株式_特定_配当!$A$2:$A$999,"&gt;=2026/1/1",国内株式_特定_配当!$A$2:$A$999,"&lt;=2026/12/31")</f>
        <v>0</v>
      </c>
      <c r="I10" s="35">
        <f t="shared" si="11"/>
        <v>436840</v>
      </c>
      <c r="J10" s="36">
        <f t="shared" si="1"/>
        <v>348095.95400000003</v>
      </c>
      <c r="K10" s="19">
        <f>SUMIFS(国内株式_信用!$P$2:$P$1000,国内株式_信用!$B$2:$B$1000,"&gt;=2026/1/1",国内株式_信用!$B$2:$B$1000,"&lt;=2026/12/31",国内株式_信用!$P$2:$P$1000,"&gt;=0")</f>
        <v>0</v>
      </c>
      <c r="L10" s="19">
        <f>SUMIFS(国内株式_信用!$P$2:$P$1000,国内株式_信用!$B$2:$B$1000,"&gt;=2026/1/1",国内株式_信用!$B$2:$B$1000,"&lt;=2026/12/31",国内株式_信用!$P$2:$P$1000,"&lt;0")</f>
        <v>0</v>
      </c>
      <c r="M10" s="35">
        <f t="shared" si="12"/>
        <v>0</v>
      </c>
      <c r="N10" s="36">
        <f t="shared" si="13"/>
        <v>0</v>
      </c>
      <c r="O10" s="19">
        <f>SUMIFS(投資信託!$K$2:$K$1023,投資信託!$B$2:$B$1023,"&gt;=2026/1/1",投資信託!$B$2:$B$1023,"&lt;=2026/12/31",投資信託!$K$2:$K$1023,"&gt;=0")</f>
        <v>0</v>
      </c>
      <c r="P10" s="19">
        <f>SUMIFS(投資信託!$K$2:$K$1023,投資信託!$B$2:$B$1023,"&gt;=2026/1/1",投資信託!$B$2:$B$1023,"&lt;=2026/12/31",投資信託!$K$2:$K$1023,"&lt;0")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348095.95400000003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8" t="s">
        <v>418</v>
      </c>
      <c r="C1" s="58"/>
      <c r="D1" s="58"/>
      <c r="E1" s="58"/>
      <c r="F1" s="58" t="s">
        <v>417</v>
      </c>
      <c r="G1" s="58"/>
      <c r="H1" s="58"/>
      <c r="I1" s="58"/>
      <c r="J1" s="58"/>
      <c r="K1" s="68" t="s">
        <v>219</v>
      </c>
      <c r="L1" s="68"/>
    </row>
    <row r="2" spans="1:12" x14ac:dyDescent="0.45">
      <c r="B2" s="54" t="s">
        <v>212</v>
      </c>
      <c r="C2" s="54"/>
      <c r="D2" s="67" t="s">
        <v>419</v>
      </c>
      <c r="E2" s="56" t="s">
        <v>214</v>
      </c>
      <c r="F2" s="54" t="s">
        <v>212</v>
      </c>
      <c r="G2" s="54"/>
      <c r="H2" s="67" t="s">
        <v>419</v>
      </c>
      <c r="I2" s="56" t="s">
        <v>214</v>
      </c>
      <c r="J2" s="61" t="s">
        <v>217</v>
      </c>
      <c r="K2" s="60" t="s">
        <v>214</v>
      </c>
      <c r="L2" s="69" t="s">
        <v>419</v>
      </c>
    </row>
    <row r="3" spans="1:12" x14ac:dyDescent="0.45">
      <c r="B3" s="33" t="s">
        <v>206</v>
      </c>
      <c r="C3" s="33" t="s">
        <v>207</v>
      </c>
      <c r="D3" s="55"/>
      <c r="E3" s="57"/>
      <c r="F3" s="32" t="s">
        <v>206</v>
      </c>
      <c r="G3" s="32" t="s">
        <v>207</v>
      </c>
      <c r="H3" s="55"/>
      <c r="I3" s="56"/>
      <c r="J3" s="56"/>
      <c r="K3" s="60"/>
      <c r="L3" s="70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415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0" sqref="D60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395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407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59"/>
  <sheetViews>
    <sheetView zoomScale="80" zoomScaleNormal="80" workbookViewId="0">
      <pane ySplit="1" topLeftCell="A50" activePane="bottomLeft" state="frozen"/>
      <selection pane="bottomLeft" activeCell="G66" sqref="G66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812"/>
  <sheetViews>
    <sheetView zoomScale="80" zoomScaleNormal="80" workbookViewId="0">
      <pane xSplit="4" ySplit="1" topLeftCell="E798" activePane="bottomRight" state="frozen"/>
      <selection pane="topRight" activeCell="E1" sqref="E1"/>
      <selection pane="bottomLeft" activeCell="A2" sqref="A2"/>
      <selection pane="bottomRight" activeCell="N808" sqref="N808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6" t="s">
        <v>357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358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6" t="s">
        <v>357</v>
      </c>
      <c r="C661" s="5">
        <v>8035</v>
      </c>
      <c r="D661" s="9" t="s">
        <v>359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360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361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365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366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366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369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365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367</v>
      </c>
      <c r="D677" s="9" t="s">
        <v>368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370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370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372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373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374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375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376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373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370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373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380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372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373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370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380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381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372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373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370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370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373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380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376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374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381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365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382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375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384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382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383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382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385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386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387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385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388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389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373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389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370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389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390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389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391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389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389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392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389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389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392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393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394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395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396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393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397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398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399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400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401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401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393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393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402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399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395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2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393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403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404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401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405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407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396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408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409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397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397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400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411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412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409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401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413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420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394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421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422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421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423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424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425</v>
      </c>
      <c r="D778" s="9" t="s">
        <v>426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425</v>
      </c>
      <c r="D779" s="9" t="s">
        <v>426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425</v>
      </c>
      <c r="D780" s="9" t="s">
        <v>426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422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409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402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420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425</v>
      </c>
      <c r="D787" s="9" t="s">
        <v>426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430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421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431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432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365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365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398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396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423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408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430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424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436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430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437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422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425</v>
      </c>
      <c r="D804" s="9" t="s">
        <v>426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425</v>
      </c>
      <c r="D805" s="9" t="s">
        <v>426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394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430</v>
      </c>
      <c r="E807" s="5" t="s">
        <v>67</v>
      </c>
      <c r="F807" s="5" t="s">
        <v>29</v>
      </c>
      <c r="G807" s="5" t="s">
        <v>41</v>
      </c>
      <c r="H807" s="5">
        <v>100</v>
      </c>
      <c r="I807" s="71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413</v>
      </c>
      <c r="E808" s="5" t="s">
        <v>67</v>
      </c>
      <c r="F808" s="5" t="s">
        <v>29</v>
      </c>
      <c r="G808" s="5" t="s">
        <v>41</v>
      </c>
      <c r="H808" s="5">
        <v>100</v>
      </c>
      <c r="I808" s="71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425</v>
      </c>
      <c r="D809" s="9" t="s">
        <v>426</v>
      </c>
      <c r="E809" s="5" t="s">
        <v>67</v>
      </c>
      <c r="F809" s="5" t="s">
        <v>29</v>
      </c>
      <c r="G809" s="5" t="s">
        <v>41</v>
      </c>
      <c r="H809" s="5">
        <v>300</v>
      </c>
      <c r="I809" s="71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404</v>
      </c>
      <c r="E810" s="5" t="s">
        <v>67</v>
      </c>
      <c r="F810" s="5" t="s">
        <v>29</v>
      </c>
      <c r="G810" s="5" t="s">
        <v>41</v>
      </c>
      <c r="H810" s="5">
        <v>100</v>
      </c>
      <c r="I810" s="71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437</v>
      </c>
      <c r="E811" s="5" t="s">
        <v>67</v>
      </c>
      <c r="F811" s="5" t="s">
        <v>29</v>
      </c>
      <c r="G811" s="5" t="s">
        <v>41</v>
      </c>
      <c r="H811" s="5">
        <v>100</v>
      </c>
      <c r="I811" s="71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422</v>
      </c>
      <c r="E812" s="5" t="s">
        <v>67</v>
      </c>
      <c r="F812" s="5" t="s">
        <v>29</v>
      </c>
      <c r="G812" s="5" t="s">
        <v>41</v>
      </c>
      <c r="H812" s="5">
        <v>100</v>
      </c>
      <c r="I812" s="71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</sheetData>
  <autoFilter ref="A1:N677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4"/>
  <sheetViews>
    <sheetView zoomScale="90" zoomScaleNormal="90" workbookViewId="0">
      <pane ySplit="1" topLeftCell="A69" activePane="bottomLeft" state="frozen"/>
      <selection activeCell="F1" sqref="F1"/>
      <selection pane="bottomLeft" activeCell="C73" sqref="C73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4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365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4" si="16">H80-I80</f>
        <v>4782</v>
      </c>
      <c r="K80" s="19">
        <f t="shared" ref="K80:K8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406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67"/>
  <sheetViews>
    <sheetView zoomScale="80" zoomScaleNormal="80" workbookViewId="0">
      <pane xSplit="4" ySplit="1" topLeftCell="K45" activePane="bottomRight" state="frozen"/>
      <selection pane="topRight" activeCell="E1" sqref="E1"/>
      <selection pane="bottomLeft" activeCell="A2" sqref="A2"/>
      <selection pane="bottomRight" activeCell="Z67" sqref="Z67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371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377</v>
      </c>
      <c r="P66" s="21">
        <v>0</v>
      </c>
      <c r="Q66" s="6" t="s">
        <v>377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371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65"/>
  <sheetViews>
    <sheetView zoomScale="90" zoomScaleNormal="90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A29" sqref="A29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45945</v>
      </c>
      <c r="B25" s="4">
        <v>45950</v>
      </c>
      <c r="C25" s="9" t="s">
        <v>378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40242</v>
      </c>
      <c r="I25" s="21">
        <v>17395</v>
      </c>
      <c r="J25" s="21">
        <v>70000</v>
      </c>
      <c r="K25" s="21">
        <v>0</v>
      </c>
    </row>
    <row r="26" spans="1:11" x14ac:dyDescent="0.45">
      <c r="A26" s="4">
        <v>45974</v>
      </c>
      <c r="B26" s="4">
        <v>45979</v>
      </c>
      <c r="C26" s="9" t="s">
        <v>378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38038</v>
      </c>
      <c r="I26" s="21">
        <v>18403</v>
      </c>
      <c r="J26" s="21">
        <v>70000</v>
      </c>
      <c r="K26" s="21">
        <v>0</v>
      </c>
    </row>
    <row r="27" spans="1:11" x14ac:dyDescent="0.45">
      <c r="A27" s="4">
        <v>46006</v>
      </c>
      <c r="B27" s="4">
        <v>46009</v>
      </c>
      <c r="C27" s="9" t="s">
        <v>378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37910</v>
      </c>
      <c r="I27" s="21">
        <v>18465</v>
      </c>
      <c r="J27" s="21">
        <v>70000</v>
      </c>
      <c r="K27" s="21">
        <v>0</v>
      </c>
    </row>
    <row r="28" spans="1:11" x14ac:dyDescent="0.45">
      <c r="A28" s="4">
        <v>46036</v>
      </c>
      <c r="B28" s="4">
        <v>46041</v>
      </c>
      <c r="C28" s="9" t="s">
        <v>378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35338</v>
      </c>
      <c r="I28" s="21">
        <v>19809</v>
      </c>
      <c r="J28" s="21">
        <v>70000</v>
      </c>
      <c r="K28" s="21">
        <v>0</v>
      </c>
    </row>
    <row r="29" spans="1:11" x14ac:dyDescent="0.45">
      <c r="A29" s="4">
        <v>44368</v>
      </c>
      <c r="B29" s="4">
        <v>44371</v>
      </c>
      <c r="C29" s="9" t="s">
        <v>163</v>
      </c>
      <c r="D29" s="5" t="s">
        <v>159</v>
      </c>
      <c r="E29" s="5" t="s">
        <v>295</v>
      </c>
      <c r="F29" s="5" t="s">
        <v>30</v>
      </c>
      <c r="G29" s="5" t="s">
        <v>160</v>
      </c>
      <c r="H29" s="8">
        <v>21735</v>
      </c>
      <c r="I29" s="8">
        <v>13803</v>
      </c>
      <c r="J29" s="8">
        <v>30000</v>
      </c>
      <c r="K29" s="21">
        <v>0</v>
      </c>
    </row>
    <row r="30" spans="1:11" x14ac:dyDescent="0.45">
      <c r="A30" s="4">
        <v>44377</v>
      </c>
      <c r="B30" s="4">
        <v>44382</v>
      </c>
      <c r="C30" s="9" t="s">
        <v>163</v>
      </c>
      <c r="D30" s="5" t="s">
        <v>159</v>
      </c>
      <c r="E30" s="5" t="s">
        <v>295</v>
      </c>
      <c r="F30" s="5" t="s">
        <v>30</v>
      </c>
      <c r="G30" s="5" t="s">
        <v>160</v>
      </c>
      <c r="H30" s="8">
        <v>7034</v>
      </c>
      <c r="I30" s="8">
        <v>14217</v>
      </c>
      <c r="J30" s="8">
        <v>10000</v>
      </c>
      <c r="K30" s="21">
        <v>0</v>
      </c>
    </row>
    <row r="31" spans="1:11" x14ac:dyDescent="0.45">
      <c r="A31" s="4">
        <v>44529</v>
      </c>
      <c r="B31" s="4">
        <v>44532</v>
      </c>
      <c r="C31" s="9" t="s">
        <v>163</v>
      </c>
      <c r="D31" s="5" t="s">
        <v>159</v>
      </c>
      <c r="E31" s="5" t="s">
        <v>295</v>
      </c>
      <c r="F31" s="5" t="s">
        <v>298</v>
      </c>
      <c r="G31" s="5"/>
      <c r="H31" s="8">
        <v>28769</v>
      </c>
      <c r="I31" s="8">
        <v>13383</v>
      </c>
      <c r="J31" s="8">
        <v>38502</v>
      </c>
      <c r="K31" s="19">
        <v>-1498</v>
      </c>
    </row>
    <row r="32" spans="1:11" x14ac:dyDescent="0.45">
      <c r="A32" s="4">
        <v>44403</v>
      </c>
      <c r="B32" s="4">
        <v>44406</v>
      </c>
      <c r="C32" s="9" t="s">
        <v>163</v>
      </c>
      <c r="D32" s="5" t="s">
        <v>159</v>
      </c>
      <c r="E32" s="5" t="s">
        <v>67</v>
      </c>
      <c r="F32" s="5" t="s">
        <v>30</v>
      </c>
      <c r="G32" s="5" t="s">
        <v>160</v>
      </c>
      <c r="H32" s="8">
        <v>7310</v>
      </c>
      <c r="I32" s="8">
        <v>13681</v>
      </c>
      <c r="J32" s="8">
        <v>10000</v>
      </c>
      <c r="K32" s="21">
        <v>0</v>
      </c>
    </row>
    <row r="33" spans="1:11" x14ac:dyDescent="0.45">
      <c r="A33" s="4">
        <v>44525</v>
      </c>
      <c r="B33" s="4">
        <v>44530</v>
      </c>
      <c r="C33" s="9" t="s">
        <v>163</v>
      </c>
      <c r="D33" s="5" t="s">
        <v>159</v>
      </c>
      <c r="E33" s="5" t="s">
        <v>67</v>
      </c>
      <c r="F33" s="5" t="s">
        <v>298</v>
      </c>
      <c r="G33" s="5"/>
      <c r="H33" s="8">
        <v>7310</v>
      </c>
      <c r="I33" s="8">
        <v>13973</v>
      </c>
      <c r="J33" s="8">
        <v>10214</v>
      </c>
      <c r="K33" s="19">
        <v>214</v>
      </c>
    </row>
    <row r="34" spans="1:11" x14ac:dyDescent="0.45">
      <c r="A34" s="4">
        <v>44165</v>
      </c>
      <c r="B34" s="4">
        <v>44168</v>
      </c>
      <c r="C34" s="9" t="s">
        <v>158</v>
      </c>
      <c r="D34" s="5" t="s">
        <v>159</v>
      </c>
      <c r="E34" s="5" t="s">
        <v>295</v>
      </c>
      <c r="F34" s="5" t="s">
        <v>30</v>
      </c>
      <c r="G34" s="5" t="s">
        <v>160</v>
      </c>
      <c r="H34" s="8">
        <v>3846</v>
      </c>
      <c r="I34" s="8">
        <v>13000</v>
      </c>
      <c r="J34" s="8">
        <v>5000</v>
      </c>
      <c r="K34" s="21">
        <v>0</v>
      </c>
    </row>
    <row r="35" spans="1:11" x14ac:dyDescent="0.45">
      <c r="A35" s="4">
        <v>44201</v>
      </c>
      <c r="B35" s="4">
        <v>44204</v>
      </c>
      <c r="C35" s="9" t="s">
        <v>158</v>
      </c>
      <c r="D35" s="5" t="s">
        <v>159</v>
      </c>
      <c r="E35" s="5" t="s">
        <v>295</v>
      </c>
      <c r="F35" s="5" t="s">
        <v>30</v>
      </c>
      <c r="G35" s="5" t="s">
        <v>160</v>
      </c>
      <c r="H35" s="8">
        <v>7604</v>
      </c>
      <c r="I35" s="8">
        <v>13152</v>
      </c>
      <c r="J35" s="8">
        <v>10000</v>
      </c>
      <c r="K35" s="21">
        <v>0</v>
      </c>
    </row>
    <row r="36" spans="1:11" x14ac:dyDescent="0.45">
      <c r="A36" s="4">
        <v>44236</v>
      </c>
      <c r="B36" s="4">
        <v>44242</v>
      </c>
      <c r="C36" s="9" t="s">
        <v>158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7041</v>
      </c>
      <c r="I36" s="8">
        <v>14202</v>
      </c>
      <c r="J36" s="8">
        <v>10000</v>
      </c>
      <c r="K36" s="21">
        <v>0</v>
      </c>
    </row>
    <row r="37" spans="1:11" x14ac:dyDescent="0.45">
      <c r="A37" s="4">
        <v>44257</v>
      </c>
      <c r="B37" s="4">
        <v>44260</v>
      </c>
      <c r="C37" s="9" t="s">
        <v>158</v>
      </c>
      <c r="D37" s="5" t="s">
        <v>159</v>
      </c>
      <c r="E37" s="5" t="s">
        <v>295</v>
      </c>
      <c r="F37" s="5" t="s">
        <v>30</v>
      </c>
      <c r="G37" s="5" t="s">
        <v>160</v>
      </c>
      <c r="H37" s="8">
        <v>6947</v>
      </c>
      <c r="I37" s="8">
        <v>14394</v>
      </c>
      <c r="J37" s="8">
        <v>10000</v>
      </c>
      <c r="K37" s="21">
        <v>0</v>
      </c>
    </row>
    <row r="38" spans="1:11" x14ac:dyDescent="0.45">
      <c r="A38" s="4">
        <v>44295</v>
      </c>
      <c r="B38" s="4">
        <v>44300</v>
      </c>
      <c r="C38" s="9" t="s">
        <v>158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6460</v>
      </c>
      <c r="I38" s="8">
        <v>15481</v>
      </c>
      <c r="J38" s="8">
        <v>10000</v>
      </c>
      <c r="K38" s="21">
        <v>0</v>
      </c>
    </row>
    <row r="39" spans="1:11" x14ac:dyDescent="0.45">
      <c r="A39" s="4">
        <v>44327</v>
      </c>
      <c r="B39" s="4">
        <v>44330</v>
      </c>
      <c r="C39" s="9" t="s">
        <v>158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3167</v>
      </c>
      <c r="I39" s="8">
        <v>15789</v>
      </c>
      <c r="J39" s="8">
        <v>5000</v>
      </c>
      <c r="K39" s="21">
        <v>0</v>
      </c>
    </row>
    <row r="40" spans="1:11" x14ac:dyDescent="0.45">
      <c r="A40" s="4">
        <v>44350</v>
      </c>
      <c r="B40" s="4">
        <v>44355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6263</v>
      </c>
      <c r="I40" s="8">
        <v>15967</v>
      </c>
      <c r="J40" s="8">
        <v>10000</v>
      </c>
      <c r="K40" s="21">
        <v>0</v>
      </c>
    </row>
    <row r="41" spans="1:11" x14ac:dyDescent="0.45">
      <c r="A41" s="4">
        <v>44377</v>
      </c>
      <c r="B41" s="4">
        <v>44382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6081</v>
      </c>
      <c r="I41" s="8">
        <v>16444</v>
      </c>
      <c r="J41" s="8">
        <v>10000</v>
      </c>
      <c r="K41" s="21">
        <v>0</v>
      </c>
    </row>
    <row r="42" spans="1:11" x14ac:dyDescent="0.45">
      <c r="A42" s="4">
        <v>44921</v>
      </c>
      <c r="B42" s="4">
        <v>44924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24940</v>
      </c>
      <c r="I42" s="8">
        <v>17961</v>
      </c>
      <c r="J42" s="8">
        <v>44794</v>
      </c>
      <c r="K42" s="21">
        <v>0</v>
      </c>
    </row>
    <row r="43" spans="1:11" x14ac:dyDescent="0.45">
      <c r="A43" s="4">
        <v>45243</v>
      </c>
      <c r="B43" s="4">
        <v>45246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590</v>
      </c>
      <c r="I43" s="8">
        <v>23925</v>
      </c>
      <c r="J43" s="8">
        <v>1410</v>
      </c>
      <c r="K43" s="21">
        <v>0</v>
      </c>
    </row>
    <row r="44" spans="1:11" x14ac:dyDescent="0.45">
      <c r="A44" s="4">
        <v>45656</v>
      </c>
      <c r="B44" s="4">
        <v>45663</v>
      </c>
      <c r="C44" s="9" t="s">
        <v>158</v>
      </c>
      <c r="D44" s="5" t="s">
        <v>159</v>
      </c>
      <c r="E44" s="5" t="s">
        <v>295</v>
      </c>
      <c r="F44" s="5" t="s">
        <v>289</v>
      </c>
      <c r="G44" s="5"/>
      <c r="H44" s="21">
        <v>3846</v>
      </c>
      <c r="I44" s="9"/>
      <c r="J44" s="9">
        <v>0</v>
      </c>
      <c r="K44" s="21">
        <v>0</v>
      </c>
    </row>
    <row r="45" spans="1:11" x14ac:dyDescent="0.45">
      <c r="A45" s="4">
        <v>45772</v>
      </c>
      <c r="B45" s="4">
        <v>45778</v>
      </c>
      <c r="C45" s="9" t="s">
        <v>158</v>
      </c>
      <c r="D45" s="5" t="s">
        <v>159</v>
      </c>
      <c r="E45" s="5" t="s">
        <v>295</v>
      </c>
      <c r="F45" s="5" t="s">
        <v>298</v>
      </c>
      <c r="G45" s="5"/>
      <c r="H45" s="21">
        <v>69093</v>
      </c>
      <c r="I45" s="19">
        <v>28502</v>
      </c>
      <c r="J45" s="19">
        <v>196929</v>
      </c>
      <c r="K45" s="21">
        <v>86850</v>
      </c>
    </row>
    <row r="46" spans="1:11" x14ac:dyDescent="0.45">
      <c r="A46" s="4">
        <v>44404</v>
      </c>
      <c r="B46" s="4">
        <v>44407</v>
      </c>
      <c r="C46" s="9" t="s">
        <v>158</v>
      </c>
      <c r="D46" s="5" t="s">
        <v>159</v>
      </c>
      <c r="E46" s="5" t="s">
        <v>67</v>
      </c>
      <c r="F46" s="5" t="s">
        <v>30</v>
      </c>
      <c r="G46" s="5" t="s">
        <v>160</v>
      </c>
      <c r="H46" s="8">
        <v>11832</v>
      </c>
      <c r="I46" s="8">
        <v>16903</v>
      </c>
      <c r="J46" s="8">
        <v>20000</v>
      </c>
      <c r="K46" s="21">
        <v>0</v>
      </c>
    </row>
    <row r="47" spans="1:11" x14ac:dyDescent="0.45">
      <c r="A47" s="4">
        <v>44435</v>
      </c>
      <c r="B47" s="4">
        <v>44440</v>
      </c>
      <c r="C47" s="9" t="s">
        <v>158</v>
      </c>
      <c r="D47" s="5" t="s">
        <v>159</v>
      </c>
      <c r="E47" s="5" t="s">
        <v>67</v>
      </c>
      <c r="F47" s="5" t="s">
        <v>298</v>
      </c>
      <c r="G47" s="5"/>
      <c r="H47" s="8">
        <v>11832</v>
      </c>
      <c r="I47" s="8">
        <v>17067</v>
      </c>
      <c r="J47" s="8">
        <v>20194</v>
      </c>
      <c r="K47" s="19">
        <v>194</v>
      </c>
    </row>
    <row r="48" spans="1:11" x14ac:dyDescent="0.45">
      <c r="A48" s="4">
        <v>45656</v>
      </c>
      <c r="B48" s="4">
        <v>45663</v>
      </c>
      <c r="C48" s="9" t="s">
        <v>158</v>
      </c>
      <c r="D48" s="5" t="s">
        <v>159</v>
      </c>
      <c r="E48" s="5" t="s">
        <v>294</v>
      </c>
      <c r="F48" s="5" t="s">
        <v>296</v>
      </c>
      <c r="G48" s="5"/>
      <c r="H48" s="21">
        <v>3846</v>
      </c>
      <c r="I48" s="9"/>
      <c r="J48" s="9">
        <v>0</v>
      </c>
      <c r="K48" s="21">
        <v>0</v>
      </c>
    </row>
    <row r="49" spans="1:11" x14ac:dyDescent="0.45">
      <c r="A49" s="4">
        <v>45824</v>
      </c>
      <c r="B49" s="4">
        <v>45827</v>
      </c>
      <c r="C49" s="9" t="s">
        <v>158</v>
      </c>
      <c r="D49" s="5" t="s">
        <v>159</v>
      </c>
      <c r="E49" s="5" t="s">
        <v>68</v>
      </c>
      <c r="F49" s="5" t="s">
        <v>298</v>
      </c>
      <c r="G49" s="5"/>
      <c r="H49" s="21">
        <v>3846</v>
      </c>
      <c r="I49" s="19">
        <v>31398</v>
      </c>
      <c r="J49" s="19">
        <v>12076</v>
      </c>
      <c r="K49" s="21">
        <v>-1071</v>
      </c>
    </row>
    <row r="50" spans="1:11" x14ac:dyDescent="0.45">
      <c r="A50" s="4">
        <v>44188</v>
      </c>
      <c r="B50" s="4">
        <v>44193</v>
      </c>
      <c r="C50" s="9" t="s">
        <v>162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4490</v>
      </c>
      <c r="I50" s="8">
        <v>22273</v>
      </c>
      <c r="J50" s="8">
        <v>10000</v>
      </c>
      <c r="K50" s="21">
        <v>0</v>
      </c>
    </row>
    <row r="51" spans="1:11" x14ac:dyDescent="0.45">
      <c r="A51" s="4">
        <v>44224</v>
      </c>
      <c r="B51" s="4">
        <v>44229</v>
      </c>
      <c r="C51" s="9" t="s">
        <v>162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2108</v>
      </c>
      <c r="I51" s="8">
        <v>23721</v>
      </c>
      <c r="J51" s="8">
        <v>5000</v>
      </c>
      <c r="K51" s="21">
        <v>0</v>
      </c>
    </row>
    <row r="52" spans="1:11" x14ac:dyDescent="0.45">
      <c r="A52" s="4">
        <v>44257</v>
      </c>
      <c r="B52" s="4">
        <v>44260</v>
      </c>
      <c r="C52" s="9" t="s">
        <v>162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1938</v>
      </c>
      <c r="I52" s="8">
        <v>25804</v>
      </c>
      <c r="J52" s="8">
        <v>5000</v>
      </c>
      <c r="K52" s="21">
        <v>0</v>
      </c>
    </row>
    <row r="53" spans="1:11" x14ac:dyDescent="0.45">
      <c r="A53" s="4">
        <v>44295</v>
      </c>
      <c r="B53" s="4">
        <v>44300</v>
      </c>
      <c r="C53" s="9" t="s">
        <v>162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1920</v>
      </c>
      <c r="I53" s="8">
        <v>26043</v>
      </c>
      <c r="J53" s="8">
        <v>5000</v>
      </c>
      <c r="K53" s="21">
        <v>0</v>
      </c>
    </row>
    <row r="54" spans="1:11" x14ac:dyDescent="0.45">
      <c r="A54" s="4">
        <v>44327</v>
      </c>
      <c r="B54" s="4">
        <v>44330</v>
      </c>
      <c r="C54" s="9" t="s">
        <v>162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4166</v>
      </c>
      <c r="I54" s="8">
        <v>24007</v>
      </c>
      <c r="J54" s="8">
        <v>10000</v>
      </c>
      <c r="K54" s="21">
        <v>0</v>
      </c>
    </row>
    <row r="55" spans="1:11" x14ac:dyDescent="0.45">
      <c r="A55" s="4">
        <v>44350</v>
      </c>
      <c r="B55" s="4">
        <v>44355</v>
      </c>
      <c r="C55" s="9" t="s">
        <v>162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1983</v>
      </c>
      <c r="I55" s="8">
        <v>25216</v>
      </c>
      <c r="J55" s="8">
        <v>5000</v>
      </c>
      <c r="K55" s="21">
        <v>0</v>
      </c>
    </row>
    <row r="56" spans="1:11" x14ac:dyDescent="0.45">
      <c r="A56" s="4">
        <v>44362</v>
      </c>
      <c r="B56" s="4">
        <v>44365</v>
      </c>
      <c r="C56" s="9" t="s">
        <v>162</v>
      </c>
      <c r="D56" s="5" t="s">
        <v>159</v>
      </c>
      <c r="E56" s="5" t="s">
        <v>295</v>
      </c>
      <c r="F56" s="5" t="s">
        <v>298</v>
      </c>
      <c r="G56" s="5"/>
      <c r="H56" s="8">
        <v>16605</v>
      </c>
      <c r="I56" s="8">
        <v>26019</v>
      </c>
      <c r="J56" s="8">
        <v>43205</v>
      </c>
      <c r="K56" s="19">
        <v>3205</v>
      </c>
    </row>
    <row r="57" spans="1:11" x14ac:dyDescent="0.45">
      <c r="A57" s="4">
        <v>44187</v>
      </c>
      <c r="B57" s="4">
        <v>44190</v>
      </c>
      <c r="C57" s="9" t="s">
        <v>161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6447</v>
      </c>
      <c r="I57" s="8">
        <v>15511</v>
      </c>
      <c r="J57" s="8">
        <v>10000</v>
      </c>
      <c r="K57" s="19">
        <v>0</v>
      </c>
    </row>
    <row r="58" spans="1:11" x14ac:dyDescent="0.45">
      <c r="A58" s="4">
        <v>44224</v>
      </c>
      <c r="B58" s="4">
        <v>44229</v>
      </c>
      <c r="C58" s="9" t="s">
        <v>161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3093</v>
      </c>
      <c r="I58" s="8">
        <v>16167</v>
      </c>
      <c r="J58" s="8">
        <v>5000</v>
      </c>
      <c r="K58" s="19">
        <v>0</v>
      </c>
    </row>
    <row r="59" spans="1:11" x14ac:dyDescent="0.45">
      <c r="A59" s="4">
        <v>44257</v>
      </c>
      <c r="B59" s="4">
        <v>44260</v>
      </c>
      <c r="C59" s="9" t="s">
        <v>161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2978</v>
      </c>
      <c r="I59" s="8">
        <v>16792</v>
      </c>
      <c r="J59" s="8">
        <v>5000</v>
      </c>
      <c r="K59" s="19">
        <v>0</v>
      </c>
    </row>
    <row r="60" spans="1:11" x14ac:dyDescent="0.45">
      <c r="A60" s="4">
        <v>44295</v>
      </c>
      <c r="B60" s="4">
        <v>44300</v>
      </c>
      <c r="C60" s="9" t="s">
        <v>161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2810</v>
      </c>
      <c r="I60" s="8">
        <v>17792</v>
      </c>
      <c r="J60" s="8">
        <v>5000</v>
      </c>
      <c r="K60" s="19">
        <v>0</v>
      </c>
    </row>
    <row r="61" spans="1:11" x14ac:dyDescent="0.45">
      <c r="A61" s="4">
        <v>44327</v>
      </c>
      <c r="B61" s="4">
        <v>44330</v>
      </c>
      <c r="C61" s="9" t="s">
        <v>161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2903</v>
      </c>
      <c r="I61" s="8">
        <v>17225</v>
      </c>
      <c r="J61" s="8">
        <v>5000</v>
      </c>
      <c r="K61" s="19">
        <v>0</v>
      </c>
    </row>
    <row r="62" spans="1:11" x14ac:dyDescent="0.45">
      <c r="A62" s="4">
        <v>44350</v>
      </c>
      <c r="B62" s="4">
        <v>44355</v>
      </c>
      <c r="C62" s="9" t="s">
        <v>161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2819</v>
      </c>
      <c r="I62" s="8">
        <v>17736</v>
      </c>
      <c r="J62" s="8">
        <v>5000</v>
      </c>
      <c r="K62" s="19">
        <v>0</v>
      </c>
    </row>
    <row r="63" spans="1:11" x14ac:dyDescent="0.45">
      <c r="A63" s="4">
        <v>44362</v>
      </c>
      <c r="B63" s="4">
        <v>44365</v>
      </c>
      <c r="C63" s="9" t="s">
        <v>161</v>
      </c>
      <c r="D63" s="5" t="s">
        <v>159</v>
      </c>
      <c r="E63" s="5" t="s">
        <v>295</v>
      </c>
      <c r="F63" s="5" t="s">
        <v>298</v>
      </c>
      <c r="G63" s="5"/>
      <c r="H63" s="8">
        <v>21050</v>
      </c>
      <c r="I63" s="8">
        <v>18410</v>
      </c>
      <c r="J63" s="8">
        <v>38753</v>
      </c>
      <c r="K63" s="19">
        <v>3753</v>
      </c>
    </row>
    <row r="64" spans="1:11" x14ac:dyDescent="0.45">
      <c r="A64" s="4">
        <v>45243</v>
      </c>
      <c r="B64" s="4">
        <v>45247</v>
      </c>
      <c r="C64" s="9" t="s">
        <v>230</v>
      </c>
      <c r="D64" s="5" t="s">
        <v>159</v>
      </c>
      <c r="E64" s="5" t="s">
        <v>67</v>
      </c>
      <c r="F64" s="5" t="s">
        <v>30</v>
      </c>
      <c r="G64" s="5" t="s">
        <v>160</v>
      </c>
      <c r="H64" s="19">
        <v>180143</v>
      </c>
      <c r="I64" s="19">
        <v>12456</v>
      </c>
      <c r="J64" s="8">
        <v>224386</v>
      </c>
      <c r="K64" s="21">
        <v>0</v>
      </c>
    </row>
    <row r="65" spans="1:11" x14ac:dyDescent="0.45">
      <c r="A65" s="4">
        <v>45664</v>
      </c>
      <c r="B65" s="4">
        <v>45671</v>
      </c>
      <c r="C65" s="9" t="s">
        <v>230</v>
      </c>
      <c r="D65" s="5" t="s">
        <v>159</v>
      </c>
      <c r="E65" s="5" t="s">
        <v>67</v>
      </c>
      <c r="F65" s="5" t="s">
        <v>298</v>
      </c>
      <c r="G65" s="5"/>
      <c r="H65" s="21">
        <v>180143</v>
      </c>
      <c r="I65" s="21">
        <v>15148</v>
      </c>
      <c r="J65" s="21">
        <v>272881</v>
      </c>
      <c r="K65" s="19">
        <v>48494</v>
      </c>
    </row>
  </sheetData>
  <autoFilter ref="A1:K55" xr:uid="{00000000-0009-0000-0000-000007000000}">
    <sortState xmlns:xlrd2="http://schemas.microsoft.com/office/spreadsheetml/2017/richdata2" ref="A2:K65">
      <sortCondition ref="C1:C55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414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416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379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379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385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410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429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427</v>
      </c>
      <c r="D54" s="9" t="s">
        <v>428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429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433</v>
      </c>
      <c r="D55" s="9" t="s">
        <v>434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435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438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433</v>
      </c>
      <c r="D57" s="9" t="s">
        <v>434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438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438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2026-02-04T14:15:06Z</dcterms:modified>
</cp:coreProperties>
</file>