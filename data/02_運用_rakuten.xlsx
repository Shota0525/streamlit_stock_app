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492" documentId="13_ncr:1_{F23918F6-93A0-4FFC-9C54-3B208A91E086}" xr6:coauthVersionLast="47" xr6:coauthVersionMax="47" xr10:uidLastSave="{31AD0F31-64B9-4092-B2A8-44C16492410D}"/>
  <bookViews>
    <workbookView xWindow="-108" yWindow="-108" windowWidth="23256" windowHeight="12456" tabRatio="819" activeTab="4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投資信託!$A$1:$K$59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876" i="6" l="1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<sst xmlns="http://schemas.openxmlformats.org/spreadsheetml/2006/main" count="6929" uniqueCount="454">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</sst>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0" fontId="0" fillId="0" borderId="10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D19" sqref="D19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46122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455495</v>
      </c>
      <c r="E4" s="35">
        <f>SUM(B4:D4)</f>
        <v>3174795</v>
      </c>
      <c r="F4" s="20">
        <f>SUM(F5:F100)</f>
        <v>9651653</v>
      </c>
      <c r="G4" s="20">
        <f>SUM(G5:G100)</f>
        <v>-4158779</v>
      </c>
      <c r="H4" s="20">
        <f>SUM(H5:H100)</f>
        <v>822090</v>
      </c>
      <c r="I4" s="35">
        <f>SUM(F4:H4)</f>
        <v>6314964</v>
      </c>
      <c r="J4" s="35">
        <f>SUM(J5:J100)</f>
        <v>5032079.0633999994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8099751.3183499994</v>
      </c>
      <c r="U4" s="56">
        <f ca="1">(V2-U2)/365</f>
        <v>5.4164383561643836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SUMIFS(投資信託!$K$2:$K$1027,投資信託!$B$2:$B$1027,"&gt;=2021/1/1",投資信託!$B$2:$B$1027,"&lt;=2021/12/31",投資信託!$K$2:$K$1027,"&gt;=0")</f>
        <v>7366</v>
      </c>
      <c r="P5" s="19">
        <f>SUMIFS(投資信託!$K$2:$K$1027,投資信託!$B$2:$B$1027,"&gt;=2021/1/1",投資信託!$B$2:$B$1027,"&lt;=2021/12/31",投資信託!$K$2:$K$1027,"&lt;0")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SUMIFS(投資信託!$K$2:$K$1027,投資信託!$B$2:$B$1027,"&gt;=2022/1/1",投資信託!$B$2:$B$1027,"&lt;=2022/12/31",投資信託!$K$2:$K$1027,"&gt;=0")</f>
        <v>0</v>
      </c>
      <c r="P6" s="19">
        <f>SUMIFS(投資信託!$K$2:$K$1027,投資信託!$B$2:$B$1027,"&gt;=2022/1/1",投資信託!$B$2:$B$1027,"&lt;=2022/12/31",投資信託!$K$2:$K$1027,"&lt;0")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SUMIFS(投資信託!$K$2:$K$1027,投資信託!$B$2:$B$1027,"&gt;=2023/1/1",投資信託!$B$2:$B$1027,"&lt;=2023/12/31",投資信託!$K$2:$K$1027,"&gt;=0")</f>
        <v>0</v>
      </c>
      <c r="P7" s="19">
        <f>SUMIFS(投資信託!$K$2:$K$1027,投資信託!$B$2:$B$1027,"&gt;=2023/1/1",投資信託!$B$2:$B$1027,"&lt;=2023/12/31",投資信託!$K$2:$K$1027,"&lt;0")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SUMIFS(投資信託!$K$2:$K$1027,投資信託!$B$2:$B$1027,"&gt;=2024/1/1",投資信託!$B$2:$B$1027,"&lt;=2024/12/31",投資信託!$K$2:$K$1027,"&gt;=0")</f>
        <v>0</v>
      </c>
      <c r="P8" s="19">
        <f>SUMIFS(投資信託!$K$2:$K$1027,投資信託!$B$2:$B$1027,"&gt;=2024/1/1",投資信託!$B$2:$B$1027,"&lt;=2024/12/31",投資信託!$K$2:$K$1027,"&lt;0")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SUMIFS(投資信託!$K$2:$K$1027,投資信託!$B$2:$B$1027,"&gt;=2025/1/1",投資信託!$B$2:$B$1027,"&lt;=2025/12/31",投資信託!$K$2:$K$1027,"&gt;=0")</f>
        <v>185421</v>
      </c>
      <c r="P9" s="19">
        <f>SUMIFS(投資信託!$K$2:$K$1027,投資信託!$B$2:$B$1027,"&gt;=2025/1/1",投資信託!$B$2:$B$1027,"&lt;=2025/12/31",投資信託!$K$2:$K$1027,"&lt;0")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5200</v>
      </c>
      <c r="E10" s="35">
        <f t="shared" si="7"/>
        <v>5200</v>
      </c>
      <c r="F10" s="19">
        <f>SUMIFS(国内株式_特定!$N$2:$N$998,国内株式_特定!$B$2:$B$998,"&gt;=2026/1/1",国内株式_特定!$B$2:$B$998,"&lt;=2026/12/31",国内株式_特定!$N$2:$N$998,"&gt;=0")</f>
        <v>2005260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19935</v>
      </c>
      <c r="I10" s="35">
        <f t="shared" si="11"/>
        <v>1291715</v>
      </c>
      <c r="J10" s="36">
        <f t="shared" si="1"/>
        <v>1029303.09775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SUMIFS(投資信託!$K$2:$K$1027,投資信託!$B$2:$B$1027,"&gt;=2026/1/1",投資信託!$B$2:$B$1027,"&lt;=2026/12/31",投資信託!$K$2:$K$1027,"&gt;=0")</f>
        <v>0</v>
      </c>
      <c r="P10" s="19">
        <f>SUMIFS(投資信託!$K$2:$K$1027,投資信託!$B$2:$B$1027,"&gt;=2026/1/1",投資信託!$B$2:$B$1027,"&lt;=2026/12/31",投資信託!$K$2:$K$1027,"&lt;0")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1241755.8142500001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0"/>
  <sheetViews>
    <sheetView zoomScale="80" zoomScaleNormal="80" workbookViewId="0">
      <pane ySplit="1" topLeftCell="A47" activePane="bottomLeft" state="frozen"/>
      <selection pane="bottomLeft" activeCell="C51" sqref="C51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" si="10">F60*G60</f>
        <v>5200</v>
      </c>
      <c r="I60" s="19">
        <v>0</v>
      </c>
      <c r="J60" s="19">
        <f t="shared" ref="J60" si="11">H60-I60</f>
        <v>5200</v>
      </c>
      <c r="K60" s="19">
        <f t="shared" ref="K60" si="12">J60</f>
        <v>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83"/>
  <sheetViews>
    <sheetView tabSelected="1" zoomScale="80" zoomScaleNormal="80" workbookViewId="0">
      <pane xSplit="4" ySplit="1" topLeftCell="E868" activePane="bottomRight" state="frozen"/>
      <selection pane="topRight" activeCell="E1" sqref="E1"/>
      <selection pane="bottomLeft" activeCell="A2" sqref="A2"/>
      <selection pane="bottomRight" activeCell="N880" sqref="N880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883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9"/>
  <sheetViews>
    <sheetView zoomScale="90" zoomScaleNormal="90" workbookViewId="0">
      <pane ySplit="1" topLeftCell="A69" activePane="bottomLeft" state="frozen"/>
      <selection activeCell="F1" sqref="F1"/>
      <selection pane="bottomLeft" activeCell="C78" sqref="C78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9" si="16">H80-I80</f>
        <v>4782</v>
      </c>
      <c r="K80" s="19">
        <f t="shared" ref="K80:K89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89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72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9"/>
  <sheetViews>
    <sheetView zoomScale="90" zoomScaleNormal="9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33" sqref="I33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45945</v>
      </c>
      <c r="B27" s="4">
        <v>45950</v>
      </c>
      <c r="C27" s="9" t="s">
        <v>377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40242</v>
      </c>
      <c r="I27" s="21">
        <v>17395</v>
      </c>
      <c r="J27" s="21">
        <v>70000</v>
      </c>
      <c r="K27" s="21">
        <v>0</v>
      </c>
    </row>
    <row r="28" spans="1:11" x14ac:dyDescent="0.45">
      <c r="A28" s="4">
        <v>45974</v>
      </c>
      <c r="B28" s="4">
        <v>45979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38038</v>
      </c>
      <c r="I28" s="21">
        <v>18403</v>
      </c>
      <c r="J28" s="21">
        <v>70000</v>
      </c>
      <c r="K28" s="21">
        <v>0</v>
      </c>
    </row>
    <row r="29" spans="1:11" x14ac:dyDescent="0.45">
      <c r="A29" s="4">
        <v>46006</v>
      </c>
      <c r="B29" s="4">
        <v>46009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37910</v>
      </c>
      <c r="I29" s="21">
        <v>18465</v>
      </c>
      <c r="J29" s="21">
        <v>70000</v>
      </c>
      <c r="K29" s="21">
        <v>0</v>
      </c>
    </row>
    <row r="30" spans="1:11" x14ac:dyDescent="0.45">
      <c r="A30" s="4">
        <v>46036</v>
      </c>
      <c r="B30" s="4">
        <v>46041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35338</v>
      </c>
      <c r="I30" s="21">
        <v>19809</v>
      </c>
      <c r="J30" s="21">
        <v>70000</v>
      </c>
      <c r="K30" s="21">
        <v>0</v>
      </c>
    </row>
    <row r="31" spans="1:11" x14ac:dyDescent="0.45">
      <c r="A31" s="4">
        <v>46066</v>
      </c>
      <c r="B31" s="4">
        <v>46071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34978</v>
      </c>
      <c r="I31" s="21">
        <v>20013</v>
      </c>
      <c r="J31" s="21">
        <v>70000</v>
      </c>
      <c r="K31" s="21">
        <v>0</v>
      </c>
    </row>
    <row r="32" spans="1:11" x14ac:dyDescent="0.45">
      <c r="A32" s="4">
        <v>46094</v>
      </c>
      <c r="B32" s="4">
        <v>46099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35624</v>
      </c>
      <c r="I32" s="21">
        <v>19650</v>
      </c>
      <c r="J32" s="21">
        <v>70000</v>
      </c>
      <c r="K32" s="21">
        <v>0</v>
      </c>
    </row>
    <row r="33" spans="1:11" x14ac:dyDescent="0.45">
      <c r="A33" s="4">
        <v>44368</v>
      </c>
      <c r="B33" s="4">
        <v>44371</v>
      </c>
      <c r="C33" s="9" t="s">
        <v>163</v>
      </c>
      <c r="D33" s="5" t="s">
        <v>159</v>
      </c>
      <c r="E33" s="5" t="s">
        <v>295</v>
      </c>
      <c r="F33" s="5" t="s">
        <v>30</v>
      </c>
      <c r="G33" s="5" t="s">
        <v>160</v>
      </c>
      <c r="H33" s="8">
        <v>21735</v>
      </c>
      <c r="I33" s="8">
        <v>13803</v>
      </c>
      <c r="J33" s="8">
        <v>30000</v>
      </c>
      <c r="K33" s="21">
        <v>0</v>
      </c>
    </row>
    <row r="34" spans="1:11" x14ac:dyDescent="0.45">
      <c r="A34" s="4">
        <v>44377</v>
      </c>
      <c r="B34" s="4">
        <v>44382</v>
      </c>
      <c r="C34" s="9" t="s">
        <v>163</v>
      </c>
      <c r="D34" s="5" t="s">
        <v>159</v>
      </c>
      <c r="E34" s="5" t="s">
        <v>295</v>
      </c>
      <c r="F34" s="5" t="s">
        <v>30</v>
      </c>
      <c r="G34" s="5" t="s">
        <v>160</v>
      </c>
      <c r="H34" s="8">
        <v>7034</v>
      </c>
      <c r="I34" s="8">
        <v>14217</v>
      </c>
      <c r="J34" s="8">
        <v>10000</v>
      </c>
      <c r="K34" s="21">
        <v>0</v>
      </c>
    </row>
    <row r="35" spans="1:11" x14ac:dyDescent="0.45">
      <c r="A35" s="4">
        <v>44529</v>
      </c>
      <c r="B35" s="4">
        <v>44532</v>
      </c>
      <c r="C35" s="9" t="s">
        <v>163</v>
      </c>
      <c r="D35" s="5" t="s">
        <v>159</v>
      </c>
      <c r="E35" s="5" t="s">
        <v>295</v>
      </c>
      <c r="F35" s="5" t="s">
        <v>298</v>
      </c>
      <c r="G35" s="5"/>
      <c r="H35" s="8">
        <v>28769</v>
      </c>
      <c r="I35" s="8">
        <v>13383</v>
      </c>
      <c r="J35" s="8">
        <v>38502</v>
      </c>
      <c r="K35" s="19">
        <v>-1498</v>
      </c>
    </row>
    <row r="36" spans="1:11" x14ac:dyDescent="0.45">
      <c r="A36" s="4">
        <v>44403</v>
      </c>
      <c r="B36" s="4">
        <v>44406</v>
      </c>
      <c r="C36" s="9" t="s">
        <v>163</v>
      </c>
      <c r="D36" s="5" t="s">
        <v>159</v>
      </c>
      <c r="E36" s="5" t="s">
        <v>67</v>
      </c>
      <c r="F36" s="5" t="s">
        <v>30</v>
      </c>
      <c r="G36" s="5" t="s">
        <v>160</v>
      </c>
      <c r="H36" s="8">
        <v>7310</v>
      </c>
      <c r="I36" s="8">
        <v>13681</v>
      </c>
      <c r="J36" s="8">
        <v>10000</v>
      </c>
      <c r="K36" s="21">
        <v>0</v>
      </c>
    </row>
    <row r="37" spans="1:11" x14ac:dyDescent="0.45">
      <c r="A37" s="4">
        <v>44525</v>
      </c>
      <c r="B37" s="4">
        <v>44530</v>
      </c>
      <c r="C37" s="9" t="s">
        <v>163</v>
      </c>
      <c r="D37" s="5" t="s">
        <v>159</v>
      </c>
      <c r="E37" s="5" t="s">
        <v>67</v>
      </c>
      <c r="F37" s="5" t="s">
        <v>298</v>
      </c>
      <c r="G37" s="5"/>
      <c r="H37" s="8">
        <v>7310</v>
      </c>
      <c r="I37" s="8">
        <v>13973</v>
      </c>
      <c r="J37" s="8">
        <v>10214</v>
      </c>
      <c r="K37" s="19">
        <v>214</v>
      </c>
    </row>
    <row r="38" spans="1:11" x14ac:dyDescent="0.45">
      <c r="A38" s="4">
        <v>44165</v>
      </c>
      <c r="B38" s="4">
        <v>44168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3846</v>
      </c>
      <c r="I38" s="8">
        <v>13000</v>
      </c>
      <c r="J38" s="8">
        <v>5000</v>
      </c>
      <c r="K38" s="21">
        <v>0</v>
      </c>
    </row>
    <row r="39" spans="1:11" x14ac:dyDescent="0.45">
      <c r="A39" s="4">
        <v>44201</v>
      </c>
      <c r="B39" s="4">
        <v>44204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7604</v>
      </c>
      <c r="I39" s="8">
        <v>13152</v>
      </c>
      <c r="J39" s="8">
        <v>10000</v>
      </c>
      <c r="K39" s="21">
        <v>0</v>
      </c>
    </row>
    <row r="40" spans="1:11" x14ac:dyDescent="0.45">
      <c r="A40" s="4">
        <v>44236</v>
      </c>
      <c r="B40" s="4">
        <v>44242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7041</v>
      </c>
      <c r="I40" s="8">
        <v>14202</v>
      </c>
      <c r="J40" s="8">
        <v>10000</v>
      </c>
      <c r="K40" s="21">
        <v>0</v>
      </c>
    </row>
    <row r="41" spans="1:11" x14ac:dyDescent="0.45">
      <c r="A41" s="4">
        <v>44257</v>
      </c>
      <c r="B41" s="4">
        <v>44260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6947</v>
      </c>
      <c r="I41" s="8">
        <v>14394</v>
      </c>
      <c r="J41" s="8">
        <v>10000</v>
      </c>
      <c r="K41" s="21">
        <v>0</v>
      </c>
    </row>
    <row r="42" spans="1:11" x14ac:dyDescent="0.45">
      <c r="A42" s="4">
        <v>44295</v>
      </c>
      <c r="B42" s="4">
        <v>44300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6460</v>
      </c>
      <c r="I42" s="8">
        <v>15481</v>
      </c>
      <c r="J42" s="8">
        <v>10000</v>
      </c>
      <c r="K42" s="21">
        <v>0</v>
      </c>
    </row>
    <row r="43" spans="1:11" x14ac:dyDescent="0.45">
      <c r="A43" s="4">
        <v>44327</v>
      </c>
      <c r="B43" s="4">
        <v>44330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3167</v>
      </c>
      <c r="I43" s="8">
        <v>15789</v>
      </c>
      <c r="J43" s="8">
        <v>5000</v>
      </c>
      <c r="K43" s="21">
        <v>0</v>
      </c>
    </row>
    <row r="44" spans="1:11" x14ac:dyDescent="0.45">
      <c r="A44" s="4">
        <v>44350</v>
      </c>
      <c r="B44" s="4">
        <v>44355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6263</v>
      </c>
      <c r="I44" s="8">
        <v>15967</v>
      </c>
      <c r="J44" s="8">
        <v>10000</v>
      </c>
      <c r="K44" s="21">
        <v>0</v>
      </c>
    </row>
    <row r="45" spans="1:11" x14ac:dyDescent="0.45">
      <c r="A45" s="4">
        <v>44377</v>
      </c>
      <c r="B45" s="4">
        <v>44382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6081</v>
      </c>
      <c r="I45" s="8">
        <v>16444</v>
      </c>
      <c r="J45" s="8">
        <v>10000</v>
      </c>
      <c r="K45" s="21">
        <v>0</v>
      </c>
    </row>
    <row r="46" spans="1:11" x14ac:dyDescent="0.45">
      <c r="A46" s="4">
        <v>44921</v>
      </c>
      <c r="B46" s="4">
        <v>44924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24940</v>
      </c>
      <c r="I46" s="8">
        <v>17961</v>
      </c>
      <c r="J46" s="8">
        <v>44794</v>
      </c>
      <c r="K46" s="21">
        <v>0</v>
      </c>
    </row>
    <row r="47" spans="1:11" x14ac:dyDescent="0.45">
      <c r="A47" s="4">
        <v>45243</v>
      </c>
      <c r="B47" s="4">
        <v>45246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590</v>
      </c>
      <c r="I47" s="8">
        <v>23925</v>
      </c>
      <c r="J47" s="8">
        <v>1410</v>
      </c>
      <c r="K47" s="21">
        <v>0</v>
      </c>
    </row>
    <row r="48" spans="1:11" x14ac:dyDescent="0.45">
      <c r="A48" s="4">
        <v>45656</v>
      </c>
      <c r="B48" s="4">
        <v>45663</v>
      </c>
      <c r="C48" s="9" t="s">
        <v>158</v>
      </c>
      <c r="D48" s="5" t="s">
        <v>159</v>
      </c>
      <c r="E48" s="5" t="s">
        <v>295</v>
      </c>
      <c r="F48" s="5" t="s">
        <v>289</v>
      </c>
      <c r="G48" s="5"/>
      <c r="H48" s="21">
        <v>3846</v>
      </c>
      <c r="I48" s="9"/>
      <c r="J48" s="9">
        <v>0</v>
      </c>
      <c r="K48" s="21">
        <v>0</v>
      </c>
    </row>
    <row r="49" spans="1:11" x14ac:dyDescent="0.45">
      <c r="A49" s="4">
        <v>45772</v>
      </c>
      <c r="B49" s="4">
        <v>45778</v>
      </c>
      <c r="C49" s="9" t="s">
        <v>158</v>
      </c>
      <c r="D49" s="5" t="s">
        <v>159</v>
      </c>
      <c r="E49" s="5" t="s">
        <v>295</v>
      </c>
      <c r="F49" s="5" t="s">
        <v>298</v>
      </c>
      <c r="G49" s="5"/>
      <c r="H49" s="21">
        <v>69093</v>
      </c>
      <c r="I49" s="19">
        <v>28502</v>
      </c>
      <c r="J49" s="19">
        <v>196929</v>
      </c>
      <c r="K49" s="21">
        <v>86850</v>
      </c>
    </row>
    <row r="50" spans="1:11" x14ac:dyDescent="0.45">
      <c r="A50" s="4">
        <v>44404</v>
      </c>
      <c r="B50" s="4">
        <v>44407</v>
      </c>
      <c r="C50" s="9" t="s">
        <v>158</v>
      </c>
      <c r="D50" s="5" t="s">
        <v>159</v>
      </c>
      <c r="E50" s="5" t="s">
        <v>67</v>
      </c>
      <c r="F50" s="5" t="s">
        <v>30</v>
      </c>
      <c r="G50" s="5" t="s">
        <v>160</v>
      </c>
      <c r="H50" s="8">
        <v>11832</v>
      </c>
      <c r="I50" s="8">
        <v>16903</v>
      </c>
      <c r="J50" s="8">
        <v>20000</v>
      </c>
      <c r="K50" s="21">
        <v>0</v>
      </c>
    </row>
    <row r="51" spans="1:11" x14ac:dyDescent="0.45">
      <c r="A51" s="4">
        <v>44435</v>
      </c>
      <c r="B51" s="4">
        <v>44440</v>
      </c>
      <c r="C51" s="9" t="s">
        <v>158</v>
      </c>
      <c r="D51" s="5" t="s">
        <v>159</v>
      </c>
      <c r="E51" s="5" t="s">
        <v>67</v>
      </c>
      <c r="F51" s="5" t="s">
        <v>298</v>
      </c>
      <c r="G51" s="5"/>
      <c r="H51" s="8">
        <v>11832</v>
      </c>
      <c r="I51" s="8">
        <v>17067</v>
      </c>
      <c r="J51" s="8">
        <v>20194</v>
      </c>
      <c r="K51" s="19">
        <v>194</v>
      </c>
    </row>
    <row r="52" spans="1:11" x14ac:dyDescent="0.45">
      <c r="A52" s="4">
        <v>45656</v>
      </c>
      <c r="B52" s="4">
        <v>45663</v>
      </c>
      <c r="C52" s="9" t="s">
        <v>158</v>
      </c>
      <c r="D52" s="5" t="s">
        <v>159</v>
      </c>
      <c r="E52" s="5" t="s">
        <v>294</v>
      </c>
      <c r="F52" s="5" t="s">
        <v>296</v>
      </c>
      <c r="G52" s="5"/>
      <c r="H52" s="21">
        <v>3846</v>
      </c>
      <c r="I52" s="9"/>
      <c r="J52" s="9">
        <v>0</v>
      </c>
      <c r="K52" s="21">
        <v>0</v>
      </c>
    </row>
    <row r="53" spans="1:11" x14ac:dyDescent="0.45">
      <c r="A53" s="4">
        <v>45824</v>
      </c>
      <c r="B53" s="4">
        <v>45827</v>
      </c>
      <c r="C53" s="9" t="s">
        <v>158</v>
      </c>
      <c r="D53" s="5" t="s">
        <v>159</v>
      </c>
      <c r="E53" s="5" t="s">
        <v>68</v>
      </c>
      <c r="F53" s="5" t="s">
        <v>298</v>
      </c>
      <c r="G53" s="5"/>
      <c r="H53" s="21">
        <v>3846</v>
      </c>
      <c r="I53" s="19">
        <v>31398</v>
      </c>
      <c r="J53" s="19">
        <v>12076</v>
      </c>
      <c r="K53" s="21">
        <v>-1071</v>
      </c>
    </row>
    <row r="54" spans="1:11" x14ac:dyDescent="0.45">
      <c r="A54" s="4">
        <v>44188</v>
      </c>
      <c r="B54" s="4">
        <v>44193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4490</v>
      </c>
      <c r="I54" s="8">
        <v>22273</v>
      </c>
      <c r="J54" s="8">
        <v>10000</v>
      </c>
      <c r="K54" s="21">
        <v>0</v>
      </c>
    </row>
    <row r="55" spans="1:11" x14ac:dyDescent="0.45">
      <c r="A55" s="4">
        <v>44224</v>
      </c>
      <c r="B55" s="4">
        <v>44229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2108</v>
      </c>
      <c r="I55" s="8">
        <v>23721</v>
      </c>
      <c r="J55" s="8">
        <v>5000</v>
      </c>
      <c r="K55" s="21">
        <v>0</v>
      </c>
    </row>
    <row r="56" spans="1:11" x14ac:dyDescent="0.45">
      <c r="A56" s="4">
        <v>44257</v>
      </c>
      <c r="B56" s="4">
        <v>44260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1938</v>
      </c>
      <c r="I56" s="8">
        <v>25804</v>
      </c>
      <c r="J56" s="8">
        <v>5000</v>
      </c>
      <c r="K56" s="21">
        <v>0</v>
      </c>
    </row>
    <row r="57" spans="1:11" x14ac:dyDescent="0.45">
      <c r="A57" s="4">
        <v>44295</v>
      </c>
      <c r="B57" s="4">
        <v>44300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1920</v>
      </c>
      <c r="I57" s="8">
        <v>26043</v>
      </c>
      <c r="J57" s="8">
        <v>5000</v>
      </c>
      <c r="K57" s="21">
        <v>0</v>
      </c>
    </row>
    <row r="58" spans="1:11" x14ac:dyDescent="0.45">
      <c r="A58" s="4">
        <v>44327</v>
      </c>
      <c r="B58" s="4">
        <v>44330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4166</v>
      </c>
      <c r="I58" s="8">
        <v>24007</v>
      </c>
      <c r="J58" s="8">
        <v>10000</v>
      </c>
      <c r="K58" s="21">
        <v>0</v>
      </c>
    </row>
    <row r="59" spans="1:11" x14ac:dyDescent="0.45">
      <c r="A59" s="4">
        <v>44350</v>
      </c>
      <c r="B59" s="4">
        <v>44355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1983</v>
      </c>
      <c r="I59" s="8">
        <v>25216</v>
      </c>
      <c r="J59" s="8">
        <v>5000</v>
      </c>
      <c r="K59" s="21">
        <v>0</v>
      </c>
    </row>
    <row r="60" spans="1:11" x14ac:dyDescent="0.45">
      <c r="A60" s="4">
        <v>44362</v>
      </c>
      <c r="B60" s="4">
        <v>44365</v>
      </c>
      <c r="C60" s="9" t="s">
        <v>162</v>
      </c>
      <c r="D60" s="5" t="s">
        <v>159</v>
      </c>
      <c r="E60" s="5" t="s">
        <v>295</v>
      </c>
      <c r="F60" s="5" t="s">
        <v>298</v>
      </c>
      <c r="G60" s="5"/>
      <c r="H60" s="8">
        <v>16605</v>
      </c>
      <c r="I60" s="8">
        <v>26019</v>
      </c>
      <c r="J60" s="8">
        <v>43205</v>
      </c>
      <c r="K60" s="19">
        <v>3205</v>
      </c>
    </row>
    <row r="61" spans="1:11" x14ac:dyDescent="0.45">
      <c r="A61" s="4">
        <v>44187</v>
      </c>
      <c r="B61" s="4">
        <v>44190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6447</v>
      </c>
      <c r="I61" s="8">
        <v>15511</v>
      </c>
      <c r="J61" s="8">
        <v>10000</v>
      </c>
      <c r="K61" s="19">
        <v>0</v>
      </c>
    </row>
    <row r="62" spans="1:11" x14ac:dyDescent="0.45">
      <c r="A62" s="4">
        <v>44224</v>
      </c>
      <c r="B62" s="4">
        <v>44229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3093</v>
      </c>
      <c r="I62" s="8">
        <v>16167</v>
      </c>
      <c r="J62" s="8">
        <v>5000</v>
      </c>
      <c r="K62" s="19">
        <v>0</v>
      </c>
    </row>
    <row r="63" spans="1:11" x14ac:dyDescent="0.45">
      <c r="A63" s="4">
        <v>44257</v>
      </c>
      <c r="B63" s="4">
        <v>44260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2978</v>
      </c>
      <c r="I63" s="8">
        <v>16792</v>
      </c>
      <c r="J63" s="8">
        <v>5000</v>
      </c>
      <c r="K63" s="19">
        <v>0</v>
      </c>
    </row>
    <row r="64" spans="1:11" x14ac:dyDescent="0.45">
      <c r="A64" s="4">
        <v>44295</v>
      </c>
      <c r="B64" s="4">
        <v>44300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2810</v>
      </c>
      <c r="I64" s="8">
        <v>17792</v>
      </c>
      <c r="J64" s="8">
        <v>5000</v>
      </c>
      <c r="K64" s="19">
        <v>0</v>
      </c>
    </row>
    <row r="65" spans="1:11" x14ac:dyDescent="0.45">
      <c r="A65" s="4">
        <v>44327</v>
      </c>
      <c r="B65" s="4">
        <v>44330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2903</v>
      </c>
      <c r="I65" s="8">
        <v>17225</v>
      </c>
      <c r="J65" s="8">
        <v>5000</v>
      </c>
      <c r="K65" s="19">
        <v>0</v>
      </c>
    </row>
    <row r="66" spans="1:11" x14ac:dyDescent="0.45">
      <c r="A66" s="4">
        <v>44350</v>
      </c>
      <c r="B66" s="4">
        <v>44355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2819</v>
      </c>
      <c r="I66" s="8">
        <v>17736</v>
      </c>
      <c r="J66" s="8">
        <v>5000</v>
      </c>
      <c r="K66" s="19">
        <v>0</v>
      </c>
    </row>
    <row r="67" spans="1:11" x14ac:dyDescent="0.45">
      <c r="A67" s="4">
        <v>44362</v>
      </c>
      <c r="B67" s="4">
        <v>44365</v>
      </c>
      <c r="C67" s="9" t="s">
        <v>161</v>
      </c>
      <c r="D67" s="5" t="s">
        <v>159</v>
      </c>
      <c r="E67" s="5" t="s">
        <v>295</v>
      </c>
      <c r="F67" s="5" t="s">
        <v>298</v>
      </c>
      <c r="G67" s="5"/>
      <c r="H67" s="8">
        <v>21050</v>
      </c>
      <c r="I67" s="8">
        <v>18410</v>
      </c>
      <c r="J67" s="8">
        <v>38753</v>
      </c>
      <c r="K67" s="19">
        <v>3753</v>
      </c>
    </row>
    <row r="68" spans="1:11" x14ac:dyDescent="0.45">
      <c r="A68" s="4">
        <v>45243</v>
      </c>
      <c r="B68" s="4">
        <v>45247</v>
      </c>
      <c r="C68" s="9" t="s">
        <v>230</v>
      </c>
      <c r="D68" s="5" t="s">
        <v>159</v>
      </c>
      <c r="E68" s="5" t="s">
        <v>67</v>
      </c>
      <c r="F68" s="5" t="s">
        <v>30</v>
      </c>
      <c r="G68" s="5" t="s">
        <v>160</v>
      </c>
      <c r="H68" s="19">
        <v>180143</v>
      </c>
      <c r="I68" s="19">
        <v>12456</v>
      </c>
      <c r="J68" s="8">
        <v>224386</v>
      </c>
      <c r="K68" s="21">
        <v>0</v>
      </c>
    </row>
    <row r="69" spans="1:11" x14ac:dyDescent="0.45">
      <c r="A69" s="4">
        <v>45664</v>
      </c>
      <c r="B69" s="4">
        <v>45671</v>
      </c>
      <c r="C69" s="9" t="s">
        <v>230</v>
      </c>
      <c r="D69" s="5" t="s">
        <v>159</v>
      </c>
      <c r="E69" s="5" t="s">
        <v>67</v>
      </c>
      <c r="F69" s="5" t="s">
        <v>298</v>
      </c>
      <c r="G69" s="5"/>
      <c r="H69" s="21">
        <v>180143</v>
      </c>
      <c r="I69" s="21">
        <v>15148</v>
      </c>
      <c r="J69" s="21">
        <v>272881</v>
      </c>
      <c r="K69" s="19">
        <v>48494</v>
      </c>
    </row>
  </sheetData>
  <autoFilter ref="A1:K59" xr:uid="{00000000-0009-0000-0000-000007000000}">
    <sortState xmlns:xlrd2="http://schemas.microsoft.com/office/spreadsheetml/2017/richdata2" ref="A2:K69">
      <sortCondition ref="C1:C59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2026-04-10T13:51:49Z</dcterms:modified>
</cp:coreProperties>
</file>